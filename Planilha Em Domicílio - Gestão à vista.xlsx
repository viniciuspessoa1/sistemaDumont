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nciamento IH" sheetId="1" r:id="rId5"/>
    <sheet state="visible" name="OSs Fechadas" sheetId="2" r:id="rId6"/>
    <sheet state="visible" name="Solicitação de Peças" sheetId="3" r:id="rId7"/>
    <sheet state="visible" name="Banco de Informações OSs Cancel" sheetId="4" r:id="rId8"/>
    <sheet state="visible" name="Base" sheetId="5" r:id="rId9"/>
    <sheet state="visible" name="Glossário" sheetId="6" r:id="rId10"/>
  </sheets>
  <definedNames>
    <definedName hidden="1" localSheetId="0" name="_xlnm._FilterDatabase">'Gerenciamento IH'!$A$1:$V$169</definedName>
    <definedName hidden="1" localSheetId="2" name="_xlnm._FilterDatabase">'Solicitação de Peças'!$A$1:$I$78</definedName>
    <definedName hidden="1" localSheetId="4" name="_xlnm._FilterDatabase">Base!$L$1:$L$987</definedName>
    <definedName hidden="1" localSheetId="0" name="Z_D995611F_81BF_475E_8BDF_81664A5280AB_.wvu.FilterData">'Gerenciamento IH'!$A$1:$V$169</definedName>
    <definedName hidden="1" localSheetId="0" name="Z_4BC471C5_5F0C_4025_B5E3_F01DFB2A8F2F_.wvu.FilterData">'Gerenciamento IH'!$A$1:$V$169</definedName>
    <definedName hidden="1" localSheetId="0" name="Z_1803DDD4_0FF9_4C5A_9798_6D09518484AB_.wvu.FilterData">'Gerenciamento IH'!$A$1:$V$169</definedName>
    <definedName hidden="1" localSheetId="0" name="Z_69668919_2663_440F_AB34_F15310A4902E_.wvu.FilterData">'Gerenciamento IH'!$A$1:$V$169</definedName>
    <definedName hidden="1" localSheetId="0" name="Z_1D463ABE_0C92_4506_8A05_19314F1B041D_.wvu.FilterData">'Gerenciamento IH'!$A$1:$V$169</definedName>
    <definedName hidden="1" localSheetId="0" name="Z_E6D33563_E5F0_4B2A_A0BC_5C4C6E977616_.wvu.FilterData">'Gerenciamento IH'!$A$1:$V$169</definedName>
    <definedName hidden="1" localSheetId="0" name="Z_22FFFAB2_F6CF_43A5_B98D_732D7CD66B0E_.wvu.FilterData">'Gerenciamento IH'!$A$1:$V$169</definedName>
    <definedName hidden="1" localSheetId="0" name="Z_5822D074_BA6B_4988_AB8E_EF0466C17D75_.wvu.FilterData">'Gerenciamento IH'!$A$1:$V$169</definedName>
    <definedName hidden="1" localSheetId="0" name="Z_B49FDA03_9767_40F7_8F51_3DFB58666176_.wvu.FilterData">'Gerenciamento IH'!$A$1:$V$169</definedName>
    <definedName hidden="1" localSheetId="0" name="Z_9D6042CD_D65E_4661_9EF4_204613E3FA0B_.wvu.FilterData">'Gerenciamento IH'!$A$1:$V$169</definedName>
    <definedName hidden="1" localSheetId="0" name="Z_8B3A8171_09DE_4D4B_A5FD_DCC57C010708_.wvu.FilterData">'Gerenciamento IH'!$A$1:$V$169</definedName>
  </definedNames>
  <calcPr/>
  <customWorkbookViews>
    <customWorkbookView activeSheetId="0" maximized="1" windowHeight="0" windowWidth="0" guid="{69668919-2663-440F-AB34-F15310A4902E}" name="Documentação faltante"/>
    <customWorkbookView activeSheetId="0" maximized="1" windowHeight="0" windowWidth="0" guid="{D995611F-81BF-475E-8BDF-81664A5280AB}" name="Km (Para Lançar)"/>
    <customWorkbookView activeSheetId="0" maximized="1" windowHeight="0" windowWidth="0" guid="{B49FDA03-9767-40F7-8F51-3DFB58666176}" name="OS's para agendar"/>
    <customWorkbookView activeSheetId="0" maximized="1" windowHeight="0" windowWidth="0" guid="{9D6042CD-D65E-4661-9EF4-204613E3FA0B}" name="Peça em Estoque"/>
    <customWorkbookView activeSheetId="0" maximized="1" windowHeight="0" windowWidth="0" guid="{22FFFAB2-F6CF-43A5-B98D-732D7CD66B0E}" name="Solicitar Peças"/>
    <customWorkbookView activeSheetId="0" maximized="1" windowHeight="0" windowWidth="0" guid="{5822D074-BA6B-4988-AB8E-EF0466C17D75}" name="Extra Man (Não iniciado) "/>
    <customWorkbookView activeSheetId="0" maximized="1" windowHeight="0" windowWidth="0" guid="{1D463ABE-0C92-4506-8A05-19314F1B041D}" name="OS's prontas"/>
    <customWorkbookView activeSheetId="0" maximized="1" windowHeight="0" windowWidth="0" guid="{E6D33563-E5F0-4B2A-A0BC-5C4C6E977616}" name="Extra Man (Para subir)"/>
    <customWorkbookView activeSheetId="0" maximized="1" windowHeight="0" windowWidth="0" guid="{4BC471C5-5F0C-4025-B5E3-F01DFB2A8F2F}" name="Solicitar Peça (Retorno)"/>
    <customWorkbookView activeSheetId="0" maximized="1" windowHeight="0" windowWidth="0" guid="{8B3A8171-09DE-4D4B-A5FD-DCC57C010708}" name="Peça em Estoque (Retorno)"/>
    <customWorkbookView activeSheetId="0" maximized="1" windowHeight="0" windowWidth="0" guid="{1803DDD4-0FF9-4C5A-9798-6D09518484AB}" name="KM (não iniciado)"/>
  </customWorkbookViews>
</workbook>
</file>

<file path=xl/sharedStrings.xml><?xml version="1.0" encoding="utf-8"?>
<sst xmlns="http://schemas.openxmlformats.org/spreadsheetml/2006/main" count="3151" uniqueCount="1289">
  <si>
    <t>Data de abertura</t>
  </si>
  <si>
    <t>OS</t>
  </si>
  <si>
    <t>Nome do Cliente</t>
  </si>
  <si>
    <t>Modelo da Condensadora / Evaporadora</t>
  </si>
  <si>
    <t>N° de série</t>
  </si>
  <si>
    <t>TAT</t>
  </si>
  <si>
    <t>Peça Necessária?</t>
  </si>
  <si>
    <t>Agendado?</t>
  </si>
  <si>
    <t>Data da Visita</t>
  </si>
  <si>
    <t>Necessita Retorno?</t>
  </si>
  <si>
    <t xml:space="preserve">Peça Necessária para Retorno? </t>
  </si>
  <si>
    <t>Retorno Agendado?</t>
  </si>
  <si>
    <t>Data da 2° Visita</t>
  </si>
  <si>
    <t>Reparo finalizado?</t>
  </si>
  <si>
    <t>Toda Documentação está disponível?</t>
  </si>
  <si>
    <t xml:space="preserve">Necessário VOID? </t>
  </si>
  <si>
    <t>SAW ( Extra Man )</t>
  </si>
  <si>
    <t>SAW ( KM )</t>
  </si>
  <si>
    <t>Data da Finalização OS</t>
  </si>
  <si>
    <t>Analista</t>
  </si>
  <si>
    <t>N° GA (SÓ PARA AM)</t>
  </si>
  <si>
    <t>Observações</t>
  </si>
  <si>
    <t>4174445115</t>
  </si>
  <si>
    <t>Não</t>
  </si>
  <si>
    <t>Sim</t>
  </si>
  <si>
    <t>Sim, solicitada</t>
  </si>
  <si>
    <t>06/01/2026 e 08/04/2026</t>
  </si>
  <si>
    <t>1ª kaynã - 2ª visita éder - Terá mais uma visita, necessário peça, 3°- visita éder =  delton = levar motor de passo 2 1 placa 1 moldura 1 aleta</t>
  </si>
  <si>
    <t>4174601418</t>
  </si>
  <si>
    <t>Sim, em estoque</t>
  </si>
  <si>
    <t xml:space="preserve">Eder </t>
  </si>
  <si>
    <t>4175256827</t>
  </si>
  <si>
    <t>Realizado, não lançado</t>
  </si>
  <si>
    <t>OS finalizada, necessário adicionar sintomas, extraman e KM</t>
  </si>
  <si>
    <t>4174748994</t>
  </si>
  <si>
    <t>Sim, não solicitada</t>
  </si>
  <si>
    <t>Anderson 1° visita. 2° Guilherme, será necessário retorno com mais peças.</t>
  </si>
  <si>
    <t>4174734388</t>
  </si>
  <si>
    <t>1253462670</t>
  </si>
  <si>
    <t>Subir Extraman e KM</t>
  </si>
  <si>
    <t>4174846790</t>
  </si>
  <si>
    <t>4174866947</t>
  </si>
  <si>
    <t>Cliente resolveu por conta, como finalizar?</t>
  </si>
  <si>
    <t>4174886626</t>
  </si>
  <si>
    <t>Não iniciado</t>
  </si>
  <si>
    <t>Realizado e lançado</t>
  </si>
  <si>
    <t>César, verificar com o emerson</t>
  </si>
  <si>
    <t>4174946607</t>
  </si>
  <si>
    <t>4174925640</t>
  </si>
  <si>
    <t xml:space="preserve">1a. visita Henrique, 2º visita fausto, necesario mais um retorno com peça </t>
  </si>
  <si>
    <t>4174925699</t>
  </si>
  <si>
    <t>4174947209</t>
  </si>
  <si>
    <t>4174960583</t>
  </si>
  <si>
    <t>4175001531</t>
  </si>
  <si>
    <t>1° Visita - Henrique - Solicitar placas main e sub</t>
  </si>
  <si>
    <t>4175002599</t>
  </si>
  <si>
    <t>Henrique - OS aberta com nº do S/N de maquina que não precisa de reparo</t>
  </si>
  <si>
    <t>4175021965</t>
  </si>
  <si>
    <t>Guilherme</t>
  </si>
  <si>
    <t>4175031844</t>
  </si>
  <si>
    <t>Votuporanga, parceiro</t>
  </si>
  <si>
    <t>4175039234</t>
  </si>
  <si>
    <t>1° Visita - Anderson</t>
  </si>
  <si>
    <t>4175055471</t>
  </si>
  <si>
    <t>Problema no GSPN - Aguardando resposta Samsung</t>
  </si>
  <si>
    <t>4175055482</t>
  </si>
  <si>
    <t>1° Visita - kaynã, Necessario retorno para retirar a maquina, maquina na base para teste</t>
  </si>
  <si>
    <t>4175055490</t>
  </si>
  <si>
    <t>1a. Visita Guilherme</t>
  </si>
  <si>
    <t>4175055496</t>
  </si>
  <si>
    <t>4175068842</t>
  </si>
  <si>
    <t>1° Visita - Henrique</t>
  </si>
  <si>
    <t>4175069975</t>
  </si>
  <si>
    <t>Ronitti, aguardando evidencias</t>
  </si>
  <si>
    <t>4175087864</t>
  </si>
  <si>
    <t>4175085235</t>
  </si>
  <si>
    <t>4175091770</t>
  </si>
  <si>
    <t>Reparo realizado pelo kaynã em 11/02/26</t>
  </si>
  <si>
    <t>4175100540</t>
  </si>
  <si>
    <t xml:space="preserve">Henrique, aguardando email de aprovação </t>
  </si>
  <si>
    <t>4175126082</t>
  </si>
  <si>
    <t>Em execução</t>
  </si>
  <si>
    <t>4175139235</t>
  </si>
  <si>
    <t>1255231783</t>
  </si>
  <si>
    <t>1a. Visita César, problema de instalção</t>
  </si>
  <si>
    <t>4175145496</t>
  </si>
  <si>
    <t>Anderson - Solicitação de PÇ - Tem no estoque</t>
  </si>
  <si>
    <t>4175154735</t>
  </si>
  <si>
    <t>4175154947</t>
  </si>
  <si>
    <t xml:space="preserve">Henrique, fechar OS sem SAW pois não tem nenhuma evidencia </t>
  </si>
  <si>
    <t>4175157549</t>
  </si>
  <si>
    <t>4175163317</t>
  </si>
  <si>
    <t>4175199037</t>
  </si>
  <si>
    <t>Fausto</t>
  </si>
  <si>
    <t>4175199815</t>
  </si>
  <si>
    <t>Henrique - Visita Diagnóstica</t>
  </si>
  <si>
    <t>4175213137</t>
  </si>
  <si>
    <t>4175209715</t>
  </si>
  <si>
    <t>4175226721</t>
  </si>
  <si>
    <t>Kaynã, aguardando email de aprovação</t>
  </si>
  <si>
    <t>4175226777</t>
  </si>
  <si>
    <t>César</t>
  </si>
  <si>
    <t>4175253950</t>
  </si>
  <si>
    <t>Fausto finalizado</t>
  </si>
  <si>
    <t>4175256393</t>
  </si>
  <si>
    <t>4175256983</t>
  </si>
  <si>
    <t>4175282662</t>
  </si>
  <si>
    <t>Anderson</t>
  </si>
  <si>
    <t>4175285222</t>
  </si>
  <si>
    <t>4175285321</t>
  </si>
  <si>
    <t>4175306888</t>
  </si>
  <si>
    <t>4175285535</t>
  </si>
  <si>
    <t>4175285585</t>
  </si>
  <si>
    <t>4175285640</t>
  </si>
  <si>
    <t xml:space="preserve">Precisará voltar para pressurizar. Se não encontrar o vazamento, recolher para a oficina nécessario 3º visita com peça </t>
  </si>
  <si>
    <t>4175286024</t>
  </si>
  <si>
    <t>1a. visita - Anderson</t>
  </si>
  <si>
    <t>4175286114</t>
  </si>
  <si>
    <t>4175286182</t>
  </si>
  <si>
    <t xml:space="preserve">Necessario Void (problema de instalação) </t>
  </si>
  <si>
    <t>4175136738</t>
  </si>
  <si>
    <t>4175133973</t>
  </si>
  <si>
    <t>Fausto  - Cliente finalizado</t>
  </si>
  <si>
    <t>4175138155</t>
  </si>
  <si>
    <t>4175143582</t>
  </si>
  <si>
    <t>4175143887</t>
  </si>
  <si>
    <t>4175146382</t>
  </si>
  <si>
    <t>4175147361</t>
  </si>
  <si>
    <t>4175147646</t>
  </si>
  <si>
    <t>4175147701</t>
  </si>
  <si>
    <t>4175147924</t>
  </si>
  <si>
    <t>4175149174</t>
  </si>
  <si>
    <t>4175153991</t>
  </si>
  <si>
    <t>4175154768</t>
  </si>
  <si>
    <t>4175155699</t>
  </si>
  <si>
    <t>4175156356</t>
  </si>
  <si>
    <t xml:space="preserve">Peça na base para reparo </t>
  </si>
  <si>
    <t>4175255208</t>
  </si>
  <si>
    <t xml:space="preserve">Equipamento está na base para teste </t>
  </si>
  <si>
    <t>4175157475</t>
  </si>
  <si>
    <t>4175163059</t>
  </si>
  <si>
    <t>4175163984</t>
  </si>
  <si>
    <t>4175166403</t>
  </si>
  <si>
    <t>4175219421</t>
  </si>
  <si>
    <t>4175233047</t>
  </si>
  <si>
    <t>Garantia negada - Kaynã</t>
  </si>
  <si>
    <t>4175237236</t>
  </si>
  <si>
    <t>4175250535</t>
  </si>
  <si>
    <t>4175255808</t>
  </si>
  <si>
    <t>4175295259</t>
  </si>
  <si>
    <t>4175295815</t>
  </si>
  <si>
    <t>4175296585</t>
  </si>
  <si>
    <t>4175303528</t>
  </si>
  <si>
    <t>Não foi nescessario reparo. Maquina funcionando perfeitamente.</t>
  </si>
  <si>
    <t>4175303631</t>
  </si>
  <si>
    <t>4175304244</t>
  </si>
  <si>
    <t>4175305399</t>
  </si>
  <si>
    <t>4175306414</t>
  </si>
  <si>
    <t>4175306709</t>
  </si>
  <si>
    <t>4175306797</t>
  </si>
  <si>
    <t>Será necessário retorno para fazer vácuo e carga.</t>
  </si>
  <si>
    <t>4175310816</t>
  </si>
  <si>
    <t>4175310924</t>
  </si>
  <si>
    <t>4175311294</t>
  </si>
  <si>
    <t>4175312540</t>
  </si>
  <si>
    <t>4175314320</t>
  </si>
  <si>
    <t>4175315062</t>
  </si>
  <si>
    <t>4175327831</t>
  </si>
  <si>
    <t>4175337909</t>
  </si>
  <si>
    <t>4175327861</t>
  </si>
  <si>
    <t>4175338569</t>
  </si>
  <si>
    <t>4175342311</t>
  </si>
  <si>
    <t xml:space="preserve">Necessario serpentina </t>
  </si>
  <si>
    <t>4175343162</t>
  </si>
  <si>
    <t>4175347170</t>
  </si>
  <si>
    <t>4175355070</t>
  </si>
  <si>
    <t>Necessario retorno pois tecnico não teve acecesso a condensadora pois estava na altura média de 5m</t>
  </si>
  <si>
    <t>4175352436</t>
  </si>
  <si>
    <t>CLIENTE PNP - ENVIAR APENAS O CONTROLE</t>
  </si>
  <si>
    <t>4175357508</t>
  </si>
  <si>
    <t>4175357679</t>
  </si>
  <si>
    <t>4175357699</t>
  </si>
  <si>
    <t>4175359543</t>
  </si>
  <si>
    <t>4175359741</t>
  </si>
  <si>
    <t>4175360035</t>
  </si>
  <si>
    <t>4175360099</t>
  </si>
  <si>
    <t>4175360148</t>
  </si>
  <si>
    <t>4175360220</t>
  </si>
  <si>
    <t>4175360623</t>
  </si>
  <si>
    <t>4175360926</t>
  </si>
  <si>
    <t>4175361050</t>
  </si>
  <si>
    <t>4175363665</t>
  </si>
  <si>
    <t>4175363760</t>
  </si>
  <si>
    <t>4175363875</t>
  </si>
  <si>
    <t>Fausto - Cliente finalizado</t>
  </si>
  <si>
    <t>4175368881</t>
  </si>
  <si>
    <t>4175371752</t>
  </si>
  <si>
    <t>4175378533</t>
  </si>
  <si>
    <t>4175380653</t>
  </si>
  <si>
    <t>4175384452</t>
  </si>
  <si>
    <t>4175147929</t>
  </si>
  <si>
    <t>4175428511</t>
  </si>
  <si>
    <t>4175443263</t>
  </si>
  <si>
    <t>Fausto (reparo relacionado ao startup 800001004)</t>
  </si>
  <si>
    <t>4175449224</t>
  </si>
  <si>
    <t>4175437307</t>
  </si>
  <si>
    <t>1º visita Guilherme - Necessario troca compressor e placa inverter da condensadora (033QPXBY200357R) e serpentina da evaporadora (0329PXCY401480N)</t>
  </si>
  <si>
    <t>4175456811</t>
  </si>
  <si>
    <t>4175456419</t>
  </si>
  <si>
    <t>4175475967</t>
  </si>
  <si>
    <t>4175468326</t>
  </si>
  <si>
    <t>4175468447</t>
  </si>
  <si>
    <t>4175469595</t>
  </si>
  <si>
    <t>4175470196</t>
  </si>
  <si>
    <t>4175504085</t>
  </si>
  <si>
    <t>4175483675</t>
  </si>
  <si>
    <t>Deniz Morgan da Costa Juni</t>
  </si>
  <si>
    <t>4175483939</t>
  </si>
  <si>
    <t>4175484789</t>
  </si>
  <si>
    <t>4175484858</t>
  </si>
  <si>
    <t>4175484923</t>
  </si>
  <si>
    <t>4175484970</t>
  </si>
  <si>
    <t>4175487994</t>
  </si>
  <si>
    <t>4175490185</t>
  </si>
  <si>
    <t>4175490687</t>
  </si>
  <si>
    <t>4175496687</t>
  </si>
  <si>
    <t>4175500673</t>
  </si>
  <si>
    <t>4175433654</t>
  </si>
  <si>
    <t>4175496565</t>
  </si>
  <si>
    <t>4175526323</t>
  </si>
  <si>
    <t>ARMOOVE CLIMATIZAÇÃO</t>
  </si>
  <si>
    <t>4175535399</t>
  </si>
  <si>
    <t>4175555212</t>
  </si>
  <si>
    <t>4175559602</t>
  </si>
  <si>
    <t>4175559119</t>
  </si>
  <si>
    <t>4175379495</t>
  </si>
  <si>
    <t>4175398099</t>
  </si>
  <si>
    <t>4175416521</t>
  </si>
  <si>
    <t>4175596969</t>
  </si>
  <si>
    <t>4175597132</t>
  </si>
  <si>
    <t>4175597428</t>
  </si>
  <si>
    <t>4175586801</t>
  </si>
  <si>
    <t>4175606739</t>
  </si>
  <si>
    <t>4175606823</t>
  </si>
  <si>
    <t>4175614694</t>
  </si>
  <si>
    <t>4175614734</t>
  </si>
  <si>
    <t>4175614829</t>
  </si>
  <si>
    <t>4175615092</t>
  </si>
  <si>
    <t>OS's Fechadas</t>
  </si>
  <si>
    <t>4172884876</t>
  </si>
  <si>
    <t>RICARDO ALBUQUERQUE ARTIOLI</t>
  </si>
  <si>
    <t>4172884906</t>
  </si>
  <si>
    <t>ROSEMAR MIGUEL MALDANER</t>
  </si>
  <si>
    <t>4172884973</t>
  </si>
  <si>
    <t>DIOGO GAZZI TICLY</t>
  </si>
  <si>
    <t>4172885001</t>
  </si>
  <si>
    <t>Paulo Sergio Resende Peixo</t>
  </si>
  <si>
    <t>4173088304</t>
  </si>
  <si>
    <t>Bruno Isidoro</t>
  </si>
  <si>
    <t>Cancelada</t>
  </si>
  <si>
    <t>4173219431</t>
  </si>
  <si>
    <t>RICARDO ALVES FERREIRA DA SI</t>
  </si>
  <si>
    <t>4173520611</t>
  </si>
  <si>
    <t>DOUGLAS BONI FITARELLI</t>
  </si>
  <si>
    <t>4173272060</t>
  </si>
  <si>
    <t>Angelo Miyake</t>
  </si>
  <si>
    <t>4172804738</t>
  </si>
  <si>
    <t>JEISON GOMES FOLEGOTI</t>
  </si>
  <si>
    <t>Cancelado</t>
  </si>
  <si>
    <t>4172805028</t>
  </si>
  <si>
    <t>Fabio Hayashi</t>
  </si>
  <si>
    <t>4173136299</t>
  </si>
  <si>
    <t>4173359954</t>
  </si>
  <si>
    <t>Aenon Empreendimentos Imob</t>
  </si>
  <si>
    <t>4173081395</t>
  </si>
  <si>
    <t>UMBERTO ANTONIO NESPOLI</t>
  </si>
  <si>
    <t>4173083936</t>
  </si>
  <si>
    <t>Sociedade Empresária Limitada</t>
  </si>
  <si>
    <t>4173391807</t>
  </si>
  <si>
    <t>ANA MARIA APARECIDA LEON</t>
  </si>
  <si>
    <t>4173447607</t>
  </si>
  <si>
    <t>Vinicius Scalco</t>
  </si>
  <si>
    <t>4173447671</t>
  </si>
  <si>
    <t>4173447675</t>
  </si>
  <si>
    <t>4173203785</t>
  </si>
  <si>
    <t>4172694782</t>
  </si>
  <si>
    <t>CARLOS EDUARDO FERNANDES CA</t>
  </si>
  <si>
    <t>Umberto Antônio Nespoli</t>
  </si>
  <si>
    <t>4172704937</t>
  </si>
  <si>
    <t>JONI BERTOLLO</t>
  </si>
  <si>
    <t>4173444329</t>
  </si>
  <si>
    <t>OLUCOES EM CONSTRUCOES LTDA CUSTODIO</t>
  </si>
  <si>
    <t>4172803743</t>
  </si>
  <si>
    <t>MARIANE SILVA DE ARRUDA</t>
  </si>
  <si>
    <t>4172885055</t>
  </si>
  <si>
    <t>RICARDO GONCALVES COSTA COUT</t>
  </si>
  <si>
    <t>4173305871</t>
  </si>
  <si>
    <t>4173345049</t>
  </si>
  <si>
    <t>JULIANO CLOVIS MONTEIRO</t>
  </si>
  <si>
    <t>4173601604</t>
  </si>
  <si>
    <t>JOSÉ INÁCIO TURATTI</t>
  </si>
  <si>
    <t>4173196402</t>
  </si>
  <si>
    <t>FLAVIO HENRIQUE DA SILVA</t>
  </si>
  <si>
    <t>4173539614</t>
  </si>
  <si>
    <t>Wellington Assis Santos</t>
  </si>
  <si>
    <t>4173263998</t>
  </si>
  <si>
    <t>DANIELA GRESPI SOARES DE MEL</t>
  </si>
  <si>
    <t>4173311249</t>
  </si>
  <si>
    <t>BRUNA TAYLA CABRAL DE VASC</t>
  </si>
  <si>
    <t>4173338330</t>
  </si>
  <si>
    <t>Odilon Lisboa Medeiros</t>
  </si>
  <si>
    <t>4173535771</t>
  </si>
  <si>
    <t>Janderson Almeida da Silva</t>
  </si>
  <si>
    <t>4173475586</t>
  </si>
  <si>
    <t>Dumas Botter Rodrigues Borba</t>
  </si>
  <si>
    <t>4173122638</t>
  </si>
  <si>
    <t>CARLOS ALVES DE OLIVEIRA</t>
  </si>
  <si>
    <t>4173384107</t>
  </si>
  <si>
    <t>MARIANI DAN TAUFNER</t>
  </si>
  <si>
    <t>4173332030</t>
  </si>
  <si>
    <t>Faria Lima Shopee REC</t>
  </si>
  <si>
    <t>4173332113</t>
  </si>
  <si>
    <t>4173332117</t>
  </si>
  <si>
    <t>4173332155</t>
  </si>
  <si>
    <t>4173332165</t>
  </si>
  <si>
    <t>4173332211</t>
  </si>
  <si>
    <t>4173332237</t>
  </si>
  <si>
    <t>4173332246</t>
  </si>
  <si>
    <t>4173332284</t>
  </si>
  <si>
    <t>4173332319</t>
  </si>
  <si>
    <t>4173419550</t>
  </si>
  <si>
    <t>Luiz Guilherme Gobbi Marcondes</t>
  </si>
  <si>
    <t>4173447603</t>
  </si>
  <si>
    <t>4173196358</t>
  </si>
  <si>
    <t>MARIESI APARECIDA CARMEVALLI</t>
  </si>
  <si>
    <t>4173510116</t>
  </si>
  <si>
    <t>E-IT Technologies Co De Informática - LTD</t>
  </si>
  <si>
    <t>4173545529</t>
  </si>
  <si>
    <t>4173637358</t>
  </si>
  <si>
    <t>4173637086</t>
  </si>
  <si>
    <t>4173503962</t>
  </si>
  <si>
    <t>Maria Lucia de Oliveira Go</t>
  </si>
  <si>
    <t>4173561688</t>
  </si>
  <si>
    <t>4173561716</t>
  </si>
  <si>
    <t>4173488784</t>
  </si>
  <si>
    <t>Daniel Takaoka</t>
  </si>
  <si>
    <t>4173290628</t>
  </si>
  <si>
    <t>ALFREDO SAN MIGUEL CACERES</t>
  </si>
  <si>
    <t>4173517147</t>
  </si>
  <si>
    <t>ARTHUR SANTINI MURIEL</t>
  </si>
  <si>
    <t>4173520712</t>
  </si>
  <si>
    <t>BRUNO VENERE BONVENTI</t>
  </si>
  <si>
    <t>4173617275</t>
  </si>
  <si>
    <t>4173601457</t>
  </si>
  <si>
    <t>Paulo Lázaro Pereira</t>
  </si>
  <si>
    <t>4173681309</t>
  </si>
  <si>
    <t>Saguia Administradora de Be</t>
  </si>
  <si>
    <t>4173761080</t>
  </si>
  <si>
    <t>4173742035</t>
  </si>
  <si>
    <t>LUCAS MILTON DRESSLER</t>
  </si>
  <si>
    <t>4173748235</t>
  </si>
  <si>
    <t>4173748239</t>
  </si>
  <si>
    <t>4173748323</t>
  </si>
  <si>
    <t>4173475255</t>
  </si>
  <si>
    <t>Priscila Der Hagobian Gomes</t>
  </si>
  <si>
    <t>4173748327</t>
  </si>
  <si>
    <t>4173748354</t>
  </si>
  <si>
    <t>4173748360</t>
  </si>
  <si>
    <t>4173748394</t>
  </si>
  <si>
    <t>4173748398</t>
  </si>
  <si>
    <t>4173748466</t>
  </si>
  <si>
    <t>4173748491</t>
  </si>
  <si>
    <t>4173748494</t>
  </si>
  <si>
    <t>4173748497</t>
  </si>
  <si>
    <t>4173748500</t>
  </si>
  <si>
    <t>4173748584</t>
  </si>
  <si>
    <t>4173748588</t>
  </si>
  <si>
    <t>4173748631</t>
  </si>
  <si>
    <t>4173748634</t>
  </si>
  <si>
    <t>4173748636</t>
  </si>
  <si>
    <t>4173748681</t>
  </si>
  <si>
    <t>4173748684</t>
  </si>
  <si>
    <t>4173748688</t>
  </si>
  <si>
    <t>4173748742</t>
  </si>
  <si>
    <t>4173748747</t>
  </si>
  <si>
    <t>4173748812</t>
  </si>
  <si>
    <t>4173748813</t>
  </si>
  <si>
    <t>4173748815</t>
  </si>
  <si>
    <t>4173748818</t>
  </si>
  <si>
    <t>4173748882</t>
  </si>
  <si>
    <t>4173748887</t>
  </si>
  <si>
    <t>4173748888</t>
  </si>
  <si>
    <t>4173748933</t>
  </si>
  <si>
    <t>4173748936</t>
  </si>
  <si>
    <t>4173748937</t>
  </si>
  <si>
    <t>4173748939</t>
  </si>
  <si>
    <t>4173749032</t>
  </si>
  <si>
    <t>4173749036</t>
  </si>
  <si>
    <t>4173749039</t>
  </si>
  <si>
    <t>4173749088</t>
  </si>
  <si>
    <t>4173749163</t>
  </si>
  <si>
    <t>4173749165</t>
  </si>
  <si>
    <t>4173749167</t>
  </si>
  <si>
    <t>4173749257</t>
  </si>
  <si>
    <t>4173749260</t>
  </si>
  <si>
    <t>4173749343</t>
  </si>
  <si>
    <t>4173749347</t>
  </si>
  <si>
    <t>4173749402</t>
  </si>
  <si>
    <t>4173749405</t>
  </si>
  <si>
    <t>4173749408</t>
  </si>
  <si>
    <t>4173749410</t>
  </si>
  <si>
    <t>4173749492</t>
  </si>
  <si>
    <t>4173749494</t>
  </si>
  <si>
    <t>4173749498</t>
  </si>
  <si>
    <t>4173749500</t>
  </si>
  <si>
    <t>4173749582</t>
  </si>
  <si>
    <t>4173790730</t>
  </si>
  <si>
    <t>Jose Valdeir de Oliveira</t>
  </si>
  <si>
    <t>4173541605</t>
  </si>
  <si>
    <t>Ricardo Fernandes de Miranda</t>
  </si>
  <si>
    <t>4173598178</t>
  </si>
  <si>
    <t>Janaina Kusieluskus</t>
  </si>
  <si>
    <t>4173812069</t>
  </si>
  <si>
    <t>4173564273</t>
  </si>
  <si>
    <t>SEMPRE ARCONDICIONADO LTDA</t>
  </si>
  <si>
    <t>4173657940</t>
  </si>
  <si>
    <t>Guard Center Tecnologia Em</t>
  </si>
  <si>
    <t>4173475252</t>
  </si>
  <si>
    <t>4173236477</t>
  </si>
  <si>
    <t>Piazza Centro de Atividades Físicas</t>
  </si>
  <si>
    <t>4173534217</t>
  </si>
  <si>
    <t>Gabriel Donato Soares</t>
  </si>
  <si>
    <t>4173620900</t>
  </si>
  <si>
    <t>LUIZ GUILHERME GOBBI MARC</t>
  </si>
  <si>
    <t>4173743732</t>
  </si>
  <si>
    <t>Leandro Diniz Marques</t>
  </si>
  <si>
    <t>4173517403</t>
  </si>
  <si>
    <t>Guilherme Vieira Rios Corral</t>
  </si>
  <si>
    <t>4173541468</t>
  </si>
  <si>
    <t>Joao Victor Fernandes masalskas</t>
  </si>
  <si>
    <t>4173639848</t>
  </si>
  <si>
    <t>4173536933</t>
  </si>
  <si>
    <t>GUSTAVO MAGALHAES DE CASTRO</t>
  </si>
  <si>
    <t>4173749814</t>
  </si>
  <si>
    <t>Fabio Bergamo dos Santos K</t>
  </si>
  <si>
    <t>4172828479</t>
  </si>
  <si>
    <t>4173800849</t>
  </si>
  <si>
    <t>Lorena De Souza cordeiro</t>
  </si>
  <si>
    <t>4173923401</t>
  </si>
  <si>
    <t>Renata Luiza Doimo</t>
  </si>
  <si>
    <t>4173514733</t>
  </si>
  <si>
    <t>Phellipy Rosa Portela</t>
  </si>
  <si>
    <t>4173686979</t>
  </si>
  <si>
    <t>Ewerton Alexsander Pinto</t>
  </si>
  <si>
    <t>4174015457</t>
  </si>
  <si>
    <t>Felipe Pfisterer Soares Pereira</t>
  </si>
  <si>
    <t>4174047666</t>
  </si>
  <si>
    <t>Thainá Oliveira</t>
  </si>
  <si>
    <t>4173626447</t>
  </si>
  <si>
    <t>Thomaz Taner</t>
  </si>
  <si>
    <t>4173662112</t>
  </si>
  <si>
    <t>Bruno Martorelli</t>
  </si>
  <si>
    <t>4173681013</t>
  </si>
  <si>
    <t>Gran Paradiso Campos do Jordão SPE</t>
  </si>
  <si>
    <t>4173767221</t>
  </si>
  <si>
    <t>Arcomp Ar Condicionado e Re</t>
  </si>
  <si>
    <t>4173820637</t>
  </si>
  <si>
    <t>Raphael Negrão Santiago</t>
  </si>
  <si>
    <t>4173832161</t>
  </si>
  <si>
    <t>QUIZ HOLDING LTDA</t>
  </si>
  <si>
    <t>4173884115</t>
  </si>
  <si>
    <t>Aires henrique Schadeck de Almeida</t>
  </si>
  <si>
    <t>4173957539</t>
  </si>
  <si>
    <t>Fernando Brumann</t>
  </si>
  <si>
    <t>4173257123</t>
  </si>
  <si>
    <t>João Alves</t>
  </si>
  <si>
    <t>4173680309</t>
  </si>
  <si>
    <t>4173788351</t>
  </si>
  <si>
    <t>Fagner Lara</t>
  </si>
  <si>
    <t>4173832038</t>
  </si>
  <si>
    <t>4173749725</t>
  </si>
  <si>
    <t>Francisco Tosta Valim Filho</t>
  </si>
  <si>
    <t>4173593093</t>
  </si>
  <si>
    <t>4173850949</t>
  </si>
  <si>
    <t>OWL SISTEMA EDUACACIONAL LTDA</t>
  </si>
  <si>
    <t>4174140767</t>
  </si>
  <si>
    <t>4173925181</t>
  </si>
  <si>
    <t>DIOGO DORLAN DE SOUZA ANTU</t>
  </si>
  <si>
    <t>4173832033</t>
  </si>
  <si>
    <t>cancelado</t>
  </si>
  <si>
    <t>4174090503</t>
  </si>
  <si>
    <t>BBS COMERCIO LTDA</t>
  </si>
  <si>
    <t>Troca de maquina</t>
  </si>
  <si>
    <t>4173843789</t>
  </si>
  <si>
    <t>Helio Xavier da Silva</t>
  </si>
  <si>
    <t>4173900996</t>
  </si>
  <si>
    <t>Gustavo Dechechi inojossa</t>
  </si>
  <si>
    <t>4173923746</t>
  </si>
  <si>
    <t>Luísa Navarro Nilo de Carv</t>
  </si>
  <si>
    <t>4173942318</t>
  </si>
  <si>
    <t>Renata Moreira Dias</t>
  </si>
  <si>
    <t>4173942447</t>
  </si>
  <si>
    <t>4174030501</t>
  </si>
  <si>
    <t>JOSÉ VANDERLEI WEBER</t>
  </si>
  <si>
    <t>4173965734</t>
  </si>
  <si>
    <t>MARIA EDUARDA MASCARENHAS</t>
  </si>
  <si>
    <t>4173850065</t>
  </si>
  <si>
    <t>HENRIQUE DE CAMPOS DULLER</t>
  </si>
  <si>
    <t>4173923187</t>
  </si>
  <si>
    <t>Jorge Luiz de Castro e Sil</t>
  </si>
  <si>
    <t>4173943486</t>
  </si>
  <si>
    <t>MARCOS NIEHUES BOEING</t>
  </si>
  <si>
    <t>4173966418</t>
  </si>
  <si>
    <t>Mariesi Aparecida Carnevalli Pascheto</t>
  </si>
  <si>
    <t>4174060000</t>
  </si>
  <si>
    <t>Edilaine Aparecida Rosa</t>
  </si>
  <si>
    <t>4174125602</t>
  </si>
  <si>
    <t>Victor Guimarães Savioli</t>
  </si>
  <si>
    <t>4173851104</t>
  </si>
  <si>
    <t>Rogerio Carneiro Bitar</t>
  </si>
  <si>
    <t>4174099582</t>
  </si>
  <si>
    <t>OTAVIO DIB PARTEZANI</t>
  </si>
  <si>
    <t>4174293114</t>
  </si>
  <si>
    <t>Fabiano Alves</t>
  </si>
  <si>
    <t>4174293144</t>
  </si>
  <si>
    <t>4174293228</t>
  </si>
  <si>
    <t>4174293295</t>
  </si>
  <si>
    <t>4174293346</t>
  </si>
  <si>
    <t>4174293420</t>
  </si>
  <si>
    <t>4174129943</t>
  </si>
  <si>
    <t>BRUNO COSMO DE ALMEIDA SIL</t>
  </si>
  <si>
    <t>4174309821</t>
  </si>
  <si>
    <t>4174061047</t>
  </si>
  <si>
    <t>Valmet Engraving Solutions</t>
  </si>
  <si>
    <t>4174083163</t>
  </si>
  <si>
    <t>SAENG ENGENHARIA E COMERCIO LTDA</t>
  </si>
  <si>
    <t>4174293093</t>
  </si>
  <si>
    <t>4174293256</t>
  </si>
  <si>
    <t>4174293274</t>
  </si>
  <si>
    <t>4174293367</t>
  </si>
  <si>
    <t>4174293416</t>
  </si>
  <si>
    <t>4174293437</t>
  </si>
  <si>
    <t>4174293117</t>
  </si>
  <si>
    <t>4174357375</t>
  </si>
  <si>
    <t>JOSE VIEIRA DE MAGALHÃES</t>
  </si>
  <si>
    <t>4174141411</t>
  </si>
  <si>
    <t>BRUNO SEVERINO GALDAME BAR</t>
  </si>
  <si>
    <t>4174396012</t>
  </si>
  <si>
    <t>4174025896</t>
  </si>
  <si>
    <t>PEDRO BENEDICTO PACHECO</t>
  </si>
  <si>
    <t>4174047821</t>
  </si>
  <si>
    <t>Newset Tecnologia em Climat</t>
  </si>
  <si>
    <t>4174047828</t>
  </si>
  <si>
    <t>4173400778</t>
  </si>
  <si>
    <t>4173400887</t>
  </si>
  <si>
    <t>4173964377</t>
  </si>
  <si>
    <t>4173976344</t>
  </si>
  <si>
    <t>Joao Henrique Giacomelli</t>
  </si>
  <si>
    <t>4174140889</t>
  </si>
  <si>
    <t>Alan Andrade</t>
  </si>
  <si>
    <t>4174278713</t>
  </si>
  <si>
    <t>Elaine Lima Menezes</t>
  </si>
  <si>
    <t>4174412971</t>
  </si>
  <si>
    <t>4174413017</t>
  </si>
  <si>
    <t>4174413142</t>
  </si>
  <si>
    <t>4174413236</t>
  </si>
  <si>
    <t>4174413360</t>
  </si>
  <si>
    <t>Hl Engenharia De Ar Condicionado</t>
  </si>
  <si>
    <t>4174190881</t>
  </si>
  <si>
    <t>4174237772</t>
  </si>
  <si>
    <t>Eric Pedro Delmiro</t>
  </si>
  <si>
    <t>4174254517</t>
  </si>
  <si>
    <t>Eduardo Paraskevopoulos</t>
  </si>
  <si>
    <t>4173857549</t>
  </si>
  <si>
    <t>4174183038</t>
  </si>
  <si>
    <t>Claludio Rocha</t>
  </si>
  <si>
    <t>4174198354</t>
  </si>
  <si>
    <t>Christian Eduardo Schlabibtz</t>
  </si>
  <si>
    <t>4174138784</t>
  </si>
  <si>
    <t>4174040193</t>
  </si>
  <si>
    <t>Laís Soares Vallotto</t>
  </si>
  <si>
    <t>4174205832</t>
  </si>
  <si>
    <t>Francesco Fogagnoli Martini</t>
  </si>
  <si>
    <t>4174311904</t>
  </si>
  <si>
    <t>E.F. ADMINISTRAÇÃO DE BENS LTDA</t>
  </si>
  <si>
    <t>4174314917</t>
  </si>
  <si>
    <t>Renan Biruel</t>
  </si>
  <si>
    <t>4174263214</t>
  </si>
  <si>
    <t>Raphael Kishino</t>
  </si>
  <si>
    <t>4174311553</t>
  </si>
  <si>
    <t>Henkel Ltda</t>
  </si>
  <si>
    <t>4174311560</t>
  </si>
  <si>
    <t>4174311616</t>
  </si>
  <si>
    <t>4174515572</t>
  </si>
  <si>
    <t>4174352446</t>
  </si>
  <si>
    <t>4173983297</t>
  </si>
  <si>
    <t>4174555024</t>
  </si>
  <si>
    <t>4174190194</t>
  </si>
  <si>
    <t>4173989444</t>
  </si>
  <si>
    <t>4174208199</t>
  </si>
  <si>
    <t>4174092998</t>
  </si>
  <si>
    <t>4174199231</t>
  </si>
  <si>
    <t>4174243422</t>
  </si>
  <si>
    <t>4174295006</t>
  </si>
  <si>
    <t>4174619047</t>
  </si>
  <si>
    <t>4174282959</t>
  </si>
  <si>
    <t>4174287126</t>
  </si>
  <si>
    <t>4174308440</t>
  </si>
  <si>
    <t>4174454541</t>
  </si>
  <si>
    <t>4174034422</t>
  </si>
  <si>
    <t>4174218976</t>
  </si>
  <si>
    <t>4174219081</t>
  </si>
  <si>
    <t>4174244208</t>
  </si>
  <si>
    <t>4174399917</t>
  </si>
  <si>
    <t>4174602723</t>
  </si>
  <si>
    <t>4174675674</t>
  </si>
  <si>
    <t>4174402605</t>
  </si>
  <si>
    <t>4174713491</t>
  </si>
  <si>
    <t>4174219153</t>
  </si>
  <si>
    <t>4174229076</t>
  </si>
  <si>
    <t>4174229942</t>
  </si>
  <si>
    <t>4174237872</t>
  </si>
  <si>
    <t>4174254433</t>
  </si>
  <si>
    <t>4174260659</t>
  </si>
  <si>
    <t>4174279132</t>
  </si>
  <si>
    <t>4174663721</t>
  </si>
  <si>
    <t>4174214921</t>
  </si>
  <si>
    <t>4174311754</t>
  </si>
  <si>
    <t>4174322687</t>
  </si>
  <si>
    <t>4174395837</t>
  </si>
  <si>
    <t>4174413380</t>
  </si>
  <si>
    <t>4174499007</t>
  </si>
  <si>
    <t>4174498971</t>
  </si>
  <si>
    <t>4174498978</t>
  </si>
  <si>
    <t>4174593725</t>
  </si>
  <si>
    <t>4174729868</t>
  </si>
  <si>
    <t>4174730826</t>
  </si>
  <si>
    <t>4174734316</t>
  </si>
  <si>
    <t>4174740900</t>
  </si>
  <si>
    <t>4174741293</t>
  </si>
  <si>
    <t>4174483240</t>
  </si>
  <si>
    <t>4174411240</t>
  </si>
  <si>
    <t>4174413276</t>
  </si>
  <si>
    <t>4174415761</t>
  </si>
  <si>
    <t>4174431100</t>
  </si>
  <si>
    <t>4174454473</t>
  </si>
  <si>
    <t>4174454603</t>
  </si>
  <si>
    <t>4174478645</t>
  </si>
  <si>
    <t>4174762056</t>
  </si>
  <si>
    <t>4174450305</t>
  </si>
  <si>
    <t>4174473973</t>
  </si>
  <si>
    <t>4174483386</t>
  </si>
  <si>
    <t>4174483265</t>
  </si>
  <si>
    <t>4174783347</t>
  </si>
  <si>
    <t>4174805154</t>
  </si>
  <si>
    <t>4174438001</t>
  </si>
  <si>
    <t>4174422157</t>
  </si>
  <si>
    <t>4174427314</t>
  </si>
  <si>
    <t>4174494616</t>
  </si>
  <si>
    <t>4174531795</t>
  </si>
  <si>
    <t>4174568022</t>
  </si>
  <si>
    <t>4174655863</t>
  </si>
  <si>
    <t>4174446290</t>
  </si>
  <si>
    <t>4174504227</t>
  </si>
  <si>
    <t>4174676498</t>
  </si>
  <si>
    <t>4174810709</t>
  </si>
  <si>
    <t>4174810541</t>
  </si>
  <si>
    <t>4174954960</t>
  </si>
  <si>
    <t>4174955538</t>
  </si>
  <si>
    <t>4174717606</t>
  </si>
  <si>
    <t>4174942998</t>
  </si>
  <si>
    <t>4174330175</t>
  </si>
  <si>
    <t>4174398457</t>
  </si>
  <si>
    <t>4174398572</t>
  </si>
  <si>
    <t>4174427172</t>
  </si>
  <si>
    <t>4174427718</t>
  </si>
  <si>
    <t>4174453240</t>
  </si>
  <si>
    <t>4174935347</t>
  </si>
  <si>
    <t>4174411742</t>
  </si>
  <si>
    <t>4174440954</t>
  </si>
  <si>
    <t>4174567412</t>
  </si>
  <si>
    <t>4174947245</t>
  </si>
  <si>
    <t>4175022427</t>
  </si>
  <si>
    <t>4175038969</t>
  </si>
  <si>
    <t>4174956585</t>
  </si>
  <si>
    <t>Rejeitada</t>
  </si>
  <si>
    <t>4174959101</t>
  </si>
  <si>
    <t>4174290904</t>
  </si>
  <si>
    <t>4174398731</t>
  </si>
  <si>
    <t>4174444360</t>
  </si>
  <si>
    <t>4174477822</t>
  </si>
  <si>
    <t>4174943841</t>
  </si>
  <si>
    <t>4174935374</t>
  </si>
  <si>
    <t>4175016981</t>
  </si>
  <si>
    <t>4175024859</t>
  </si>
  <si>
    <t>4175029411</t>
  </si>
  <si>
    <t>4175070033</t>
  </si>
  <si>
    <t>4174254466</t>
  </si>
  <si>
    <t>4174294021</t>
  </si>
  <si>
    <t>4174353551</t>
  </si>
  <si>
    <t>4174482877</t>
  </si>
  <si>
    <t>4174554735</t>
  </si>
  <si>
    <t>4174766556</t>
  </si>
  <si>
    <t>4174954353</t>
  </si>
  <si>
    <t>4175026216</t>
  </si>
  <si>
    <t>4175079665</t>
  </si>
  <si>
    <t>4175096979</t>
  </si>
  <si>
    <t>4175097592</t>
  </si>
  <si>
    <t>4174963345</t>
  </si>
  <si>
    <t>4175026462</t>
  </si>
  <si>
    <t>4174427176</t>
  </si>
  <si>
    <t>4174947661</t>
  </si>
  <si>
    <t>4175138817</t>
  </si>
  <si>
    <t>4174960043</t>
  </si>
  <si>
    <t>Virou RH</t>
  </si>
  <si>
    <t>4175129801</t>
  </si>
  <si>
    <t>4174728606</t>
  </si>
  <si>
    <t>4174728936</t>
  </si>
  <si>
    <t>4174717979</t>
  </si>
  <si>
    <t>4175125343</t>
  </si>
  <si>
    <t>4175125434</t>
  </si>
  <si>
    <t>4174908414</t>
  </si>
  <si>
    <t>4174532210</t>
  </si>
  <si>
    <t>4174553145</t>
  </si>
  <si>
    <t>4174563481</t>
  </si>
  <si>
    <t>4174576496</t>
  </si>
  <si>
    <t>4174710337</t>
  </si>
  <si>
    <t>4174752598</t>
  </si>
  <si>
    <t>4174786462</t>
  </si>
  <si>
    <t>4174908416</t>
  </si>
  <si>
    <t>4174428013</t>
  </si>
  <si>
    <t>4174483387</t>
  </si>
  <si>
    <t>4174601190</t>
  </si>
  <si>
    <t>4174553312</t>
  </si>
  <si>
    <t>4174601353</t>
  </si>
  <si>
    <t>4174688677</t>
  </si>
  <si>
    <t>4174734478</t>
  </si>
  <si>
    <t>4174846406</t>
  </si>
  <si>
    <t>4174881358</t>
  </si>
  <si>
    <t>4174907169</t>
  </si>
  <si>
    <t>4174922866</t>
  </si>
  <si>
    <t>4175211571</t>
  </si>
  <si>
    <t>4174600910</t>
  </si>
  <si>
    <t>4174693613</t>
  </si>
  <si>
    <t>4174413465</t>
  </si>
  <si>
    <t>4174811226</t>
  </si>
  <si>
    <t>4174947429</t>
  </si>
  <si>
    <t>4174963436</t>
  </si>
  <si>
    <t>4174659575</t>
  </si>
  <si>
    <t>4174734499</t>
  </si>
  <si>
    <t>4174735425</t>
  </si>
  <si>
    <t>4174772084</t>
  </si>
  <si>
    <t>4174840701</t>
  </si>
  <si>
    <t>4174874196</t>
  </si>
  <si>
    <t>4175012260</t>
  </si>
  <si>
    <t>4175160579</t>
  </si>
  <si>
    <t>4174772259</t>
  </si>
  <si>
    <t>4174866615</t>
  </si>
  <si>
    <t>4174885661</t>
  </si>
  <si>
    <t>4175045392</t>
  </si>
  <si>
    <t>4175209630</t>
  </si>
  <si>
    <t>4175306882</t>
  </si>
  <si>
    <t>4174944307</t>
  </si>
  <si>
    <t>4175026640</t>
  </si>
  <si>
    <t>4175076882</t>
  </si>
  <si>
    <t>4175250766</t>
  </si>
  <si>
    <t>4174599540</t>
  </si>
  <si>
    <t>4175136315</t>
  </si>
  <si>
    <t>4175377880</t>
  </si>
  <si>
    <t>4175378446</t>
  </si>
  <si>
    <t>4175389128</t>
  </si>
  <si>
    <t>4175416042</t>
  </si>
  <si>
    <t>4175431206</t>
  </si>
  <si>
    <t>4175431689</t>
  </si>
  <si>
    <t>4174945779</t>
  </si>
  <si>
    <t>4174922824</t>
  </si>
  <si>
    <t>4175455332</t>
  </si>
  <si>
    <t>4175462125</t>
  </si>
  <si>
    <t>4175458761</t>
  </si>
  <si>
    <t>4174922875</t>
  </si>
  <si>
    <t>4174932875</t>
  </si>
  <si>
    <t>cancelada</t>
  </si>
  <si>
    <t>4175441579</t>
  </si>
  <si>
    <t>4175465821</t>
  </si>
  <si>
    <t>4175477913</t>
  </si>
  <si>
    <t>4174675963</t>
  </si>
  <si>
    <t>Troca</t>
  </si>
  <si>
    <t>4175302843</t>
  </si>
  <si>
    <t>4175303358</t>
  </si>
  <si>
    <t>4175304623</t>
  </si>
  <si>
    <t>4175304982</t>
  </si>
  <si>
    <t>4175448238</t>
  </si>
  <si>
    <t>4174947467</t>
  </si>
  <si>
    <t>4174973973</t>
  </si>
  <si>
    <t>4175002584</t>
  </si>
  <si>
    <t>4175046516</t>
  </si>
  <si>
    <t>4175055271</t>
  </si>
  <si>
    <t>4175125239</t>
  </si>
  <si>
    <t>4174499001</t>
  </si>
  <si>
    <t>4174554329</t>
  </si>
  <si>
    <t>4174554429</t>
  </si>
  <si>
    <t>4174731148</t>
  </si>
  <si>
    <t>4174932065</t>
  </si>
  <si>
    <t>4175530152</t>
  </si>
  <si>
    <t>4174477418</t>
  </si>
  <si>
    <t>troca de maquina</t>
  </si>
  <si>
    <t>4174996906</t>
  </si>
  <si>
    <t>4174553303</t>
  </si>
  <si>
    <t>4174728314</t>
  </si>
  <si>
    <t>4174984195</t>
  </si>
  <si>
    <t>4174984272</t>
  </si>
  <si>
    <t>4175078130</t>
  </si>
  <si>
    <t>4175078517</t>
  </si>
  <si>
    <t>4175166280</t>
  </si>
  <si>
    <t>4175211368</t>
  </si>
  <si>
    <t>4175285424</t>
  </si>
  <si>
    <t>4175077665</t>
  </si>
  <si>
    <t>4175227504</t>
  </si>
  <si>
    <t>Tipo do serviço</t>
  </si>
  <si>
    <t>Peça a ser solicitada</t>
  </si>
  <si>
    <t>Peça Solicitada?</t>
  </si>
  <si>
    <t xml:space="preserve">Sensor </t>
  </si>
  <si>
    <t>Motor de Passo proxima visita chicote dos motores de passos</t>
  </si>
  <si>
    <t xml:space="preserve">Sensor de nivel </t>
  </si>
  <si>
    <t xml:space="preserve">Compressor </t>
  </si>
  <si>
    <t xml:space="preserve">4 compressores, acumuladores e filtro de oleo </t>
  </si>
  <si>
    <t>Serpentina da evaporadora</t>
  </si>
  <si>
    <t xml:space="preserve">Modelo: AJ025ANAPKH/AZ   Serial: 02TDPXCXC00284A </t>
  </si>
  <si>
    <t>Touch</t>
  </si>
  <si>
    <t>Serpentina da condensadora, válvula de expansão e válvula 4 vias</t>
  </si>
  <si>
    <t xml:space="preserve">Motor do ventilador da evaporadora </t>
  </si>
  <si>
    <t xml:space="preserve">Bandeja de dreno </t>
  </si>
  <si>
    <t>motor de passos placa moldura e aleta proxima visita levar .</t>
  </si>
  <si>
    <t>TAT 77</t>
  </si>
  <si>
    <t>placa-mãe do condensador e do evaporador.</t>
  </si>
  <si>
    <t>TAT 73</t>
  </si>
  <si>
    <t>Serpentina</t>
  </si>
  <si>
    <t>TAT 40</t>
  </si>
  <si>
    <t>placa eletrônica da evaporadora e da placa principal (display/controle) da condensadora</t>
  </si>
  <si>
    <t>TAT 38</t>
  </si>
  <si>
    <t>3 serpentinas das unidades internas dos ambientes</t>
  </si>
  <si>
    <t>TAT 22</t>
  </si>
  <si>
    <t>TAT 11</t>
  </si>
  <si>
    <t>Compressor</t>
  </si>
  <si>
    <t>Cliente informa o erro E153, referente a bomba de drenagem. Sugerimos a ASC levar a placa da evaporadora e o kit sensor+sensor de nível.</t>
  </si>
  <si>
    <t>Cliente informa que não consegue realizar a configuração do módulo wi
fi. Sugerimos a ASC levar o módulo wi fi e a placa da evaporadora.</t>
  </si>
  <si>
    <t>Sugerimos a ASC levar não apenas a placa, mas também o kit bomba+sensor de nível.</t>
  </si>
  <si>
    <t>Cliente informa o erro E153, referente a bomba de drenagem. Sugerimos a ASC levar a placa e o kit bomba+sensor de nível.</t>
  </si>
  <si>
    <t>placas do kit wi-fi</t>
  </si>
  <si>
    <t>válvula EEV da evaporadora</t>
  </si>
  <si>
    <t>placa da evaporadora</t>
  </si>
  <si>
    <t>VALVE GEAR EXPAN</t>
  </si>
  <si>
    <t>serpentina da evaporadora</t>
  </si>
  <si>
    <t>ASSY PCB MAIN-IN;SW,INDOOR,AC5000B,260*7</t>
  </si>
  <si>
    <t>Serpentina da condensadora</t>
  </si>
  <si>
    <t xml:space="preserve">Base da condensadora </t>
  </si>
  <si>
    <t>Placa da Evap e motor da aleta</t>
  </si>
  <si>
    <t>motor ventilador, hélice e placa da condensadora</t>
  </si>
  <si>
    <t>bomba+sensor de nível e a placa.</t>
  </si>
  <si>
    <t xml:space="preserve">2 placas da condensadora </t>
  </si>
  <si>
    <t xml:space="preserve">Serpentina da condensadora </t>
  </si>
  <si>
    <t>placas main e sub</t>
  </si>
  <si>
    <t>2 motores e 2 placa da evap</t>
  </si>
  <si>
    <t>Faz-se necessária compra de peça (Compressor)</t>
  </si>
  <si>
    <t>Compressor DS-GB066FAVB ou similar.</t>
  </si>
  <si>
    <t xml:space="preserve">Placa inverter da condensadora, </t>
  </si>
  <si>
    <t>DB92-04560A (PLACA E TROCADOR) ideal
DB92-04535A (APENAS PLACA) caso não encontre pelo cod acima</t>
  </si>
  <si>
    <t xml:space="preserve">Bomba de dreno, Kit Wifi (DB90-11882L) e placa principal de cassete 4 vias </t>
  </si>
  <si>
    <t xml:space="preserve">Kit Wifi </t>
  </si>
  <si>
    <t xml:space="preserve">Placa principal da condensadora </t>
  </si>
  <si>
    <t>Placa Inverter e Main condensadora</t>
  </si>
  <si>
    <t>Serpentina da evaporadora (DB96-24830F) mod. :AJ025ANAPKH2AZ n/s : 0321PXCX500959Y</t>
  </si>
  <si>
    <t xml:space="preserve">Compressor e Kit Wifi </t>
  </si>
  <si>
    <t>Placa e serpentina</t>
  </si>
  <si>
    <t>Placa da evaporadora</t>
  </si>
  <si>
    <t xml:space="preserve">Serpentina da evaporadora </t>
  </si>
  <si>
    <t>Compressor e válvula de serviço</t>
  </si>
  <si>
    <t>compressor e placa inverter da condensadora (033QPXBY200357R) e serpentina da evaporadora (0329PXCY401480N)</t>
  </si>
  <si>
    <t xml:space="preserve">Tubo de 4 vias da condesadora e Tubo de valvulas da condensadora </t>
  </si>
  <si>
    <t xml:space="preserve">Placa e Eepron da evaporadora </t>
  </si>
  <si>
    <t>Placa da condensadora</t>
  </si>
  <si>
    <t>BOMBA DE DRENO, SENOR DE NIVEL E INTERRUPTOR K7 UMA VIA</t>
  </si>
  <si>
    <t>Serpentina evaporadora (AJ025ANAPKH2AZ - DB96-26644A)</t>
  </si>
  <si>
    <t xml:space="preserve">Serpentida da evaporadora </t>
  </si>
  <si>
    <t xml:space="preserve"> placas referentes a condensadora de modelo AC048TXADKC/AZ</t>
  </si>
  <si>
    <t>placa da evaporadora de S/N: 0343PXAXA00021M</t>
  </si>
  <si>
    <t xml:space="preserve"> sensor de Room Temp</t>
  </si>
  <si>
    <t xml:space="preserve"> conjunto de placas da condensadora e o Sensor OLP</t>
  </si>
  <si>
    <t>Data de Abertura</t>
  </si>
  <si>
    <t>Peça Nescessária?</t>
  </si>
  <si>
    <t>Peça em Estoque?</t>
  </si>
  <si>
    <t>Peça Nescessária para Retorno?</t>
  </si>
  <si>
    <t>Peça Solicitada para Retorno?</t>
  </si>
  <si>
    <t>Peça em Estoque para Retorno?</t>
  </si>
  <si>
    <t>Tracking No</t>
  </si>
  <si>
    <t>CP Code</t>
  </si>
  <si>
    <t>CP Name</t>
  </si>
  <si>
    <t>ASC Ref. No</t>
  </si>
  <si>
    <t>Requested Date</t>
  </si>
  <si>
    <t>Service Type</t>
  </si>
  <si>
    <t>Model Code</t>
  </si>
  <si>
    <t>Serial No</t>
  </si>
  <si>
    <t>Customer Name</t>
  </si>
  <si>
    <t>First Anticipated Date</t>
  </si>
  <si>
    <t>Está na planilha de gestão?</t>
  </si>
  <si>
    <t>04.15.2026</t>
  </si>
  <si>
    <t>Em Domicílio</t>
  </si>
  <si>
    <t>AJ068ANAPKH/AZ</t>
  </si>
  <si>
    <t>M000</t>
  </si>
  <si>
    <t>Samuel Ebel Braga Ramos</t>
  </si>
  <si>
    <t>00.00.0000</t>
  </si>
  <si>
    <t>AC060DXADKG/AZ</t>
  </si>
  <si>
    <t>0315PXBY100125M</t>
  </si>
  <si>
    <t>Rogerio Henrique Zanin</t>
  </si>
  <si>
    <t>04.16.2026</t>
  </si>
  <si>
    <t>AC024DXADKG/AZ</t>
  </si>
  <si>
    <t>Amy Chaves</t>
  </si>
  <si>
    <t>AM220CXVAFH/AZ</t>
  </si>
  <si>
    <t>0YP0PAOX400032Z</t>
  </si>
  <si>
    <t>Elton José Gonsales Fontes</t>
  </si>
  <si>
    <t>04.17.2026</t>
  </si>
  <si>
    <t>AM180JNHFKH/EU</t>
  </si>
  <si>
    <t>0DFCPAOXA00071Z</t>
  </si>
  <si>
    <t>Adriano Pagni Buzaid</t>
  </si>
  <si>
    <t>AM180CXVAFH/AZ</t>
  </si>
  <si>
    <t>0YNYPAOXB00025R</t>
  </si>
  <si>
    <t>Renata Escarpelli</t>
  </si>
  <si>
    <t>AM040KXMDCH/AZ</t>
  </si>
  <si>
    <t>0R9JPAOX600026J</t>
  </si>
  <si>
    <t>Climatizar Ar condicionado eireli</t>
  </si>
  <si>
    <t>AM120KXMDFH/TC</t>
  </si>
  <si>
    <t>0FHNPAOW300045A</t>
  </si>
  <si>
    <t>Eder Henrique Gomes de Sousa</t>
  </si>
  <si>
    <t>03.27.2026</t>
  </si>
  <si>
    <t>AJ100DXJ5KH/AZ</t>
  </si>
  <si>
    <t>0344PXBYA00196A</t>
  </si>
  <si>
    <t>Teilor Miotto</t>
  </si>
  <si>
    <t>AJ050AXJ2KH/AZ</t>
  </si>
  <si>
    <t>02TGPXBX200299V</t>
  </si>
  <si>
    <t>Bruno Henrique Dannas Pelogia</t>
  </si>
  <si>
    <t>12.19.2025</t>
  </si>
  <si>
    <t>AC048TN4DKC/AZ</t>
  </si>
  <si>
    <t>BF09P3HW800039W</t>
  </si>
  <si>
    <t>Eliane Vignatti Avancini</t>
  </si>
  <si>
    <t>01.14.2026</t>
  </si>
  <si>
    <t>0344PXBY500159H</t>
  </si>
  <si>
    <t>Thiago Nascimento Pontes</t>
  </si>
  <si>
    <t>01.30.2026</t>
  </si>
  <si>
    <t>02TGPXBX100547H</t>
  </si>
  <si>
    <t>Patrick De Moura Sousa</t>
  </si>
  <si>
    <t>03.19.2026</t>
  </si>
  <si>
    <t>AC018DXADKG/AZ</t>
  </si>
  <si>
    <t>030DPXBY200141N</t>
  </si>
  <si>
    <t>Luka Marques De Araujo</t>
  </si>
  <si>
    <t>AJ100AXJ5KH/AZ</t>
  </si>
  <si>
    <t>BLK6P3CX400095V</t>
  </si>
  <si>
    <t>GABRIELA LUCIANO BORRI ARANDA</t>
  </si>
  <si>
    <t>AJ035ANAPKH2AZ</t>
  </si>
  <si>
    <t>0322PXCXC00229K</t>
  </si>
  <si>
    <t>Marcelo Giovani Bernardino p</t>
  </si>
  <si>
    <t>AC036DN6DKG/AZ</t>
  </si>
  <si>
    <t>030LPXAY600045E</t>
  </si>
  <si>
    <t>IVAN ANTONIO ARALDI</t>
  </si>
  <si>
    <t>04.14.2026</t>
  </si>
  <si>
    <t>AJ017NCJ2CH/AZ</t>
  </si>
  <si>
    <t>Paulo Corigliano</t>
  </si>
  <si>
    <t>03.30.2026</t>
  </si>
  <si>
    <t>AJ025ANAPKH2AZ</t>
  </si>
  <si>
    <t>0321PXCX800707J</t>
  </si>
  <si>
    <t>EDSON DE ARAUJO CORREIA</t>
  </si>
  <si>
    <t>AJ080AXJ4KH/AZ</t>
  </si>
  <si>
    <t>02TMPXBXC00056P</t>
  </si>
  <si>
    <t>ORPEC ENGENHARIA IND E COM LTDA</t>
  </si>
  <si>
    <t>03.16.2026</t>
  </si>
  <si>
    <t>Leonardo Biar</t>
  </si>
  <si>
    <t>03.20.2026</t>
  </si>
  <si>
    <t>AJ050ANAPKH2AZ</t>
  </si>
  <si>
    <t>0323PXCX500031P</t>
  </si>
  <si>
    <t>Jorge Pereira</t>
  </si>
  <si>
    <t>AC018DN1DKG/AZ</t>
  </si>
  <si>
    <t>0309PXAXA00381Y</t>
  </si>
  <si>
    <t>ALEXANDRE HENRIQUE JUNG</t>
  </si>
  <si>
    <t>AJ068AXJ3KH/AZ</t>
  </si>
  <si>
    <t>JARBAS LONGARAY GONCALVES</t>
  </si>
  <si>
    <t>03.25.2026</t>
  </si>
  <si>
    <t>02TGPXBX600298Y</t>
  </si>
  <si>
    <t>BRUNO LEONARDO FERREIRA</t>
  </si>
  <si>
    <t>02.13.2026</t>
  </si>
  <si>
    <t>Sérgio Lima</t>
  </si>
  <si>
    <t>02.19.2026</t>
  </si>
  <si>
    <t>02TKPXBX800038K</t>
  </si>
  <si>
    <t>Fabricio Passadore de Oliveir</t>
  </si>
  <si>
    <t>02.20.2026</t>
  </si>
  <si>
    <t>AJ052DN1DKH2AZ</t>
  </si>
  <si>
    <t>Thales Cardoso</t>
  </si>
  <si>
    <t>02.26.2026</t>
  </si>
  <si>
    <t>AM070TXMDKH/AZ</t>
  </si>
  <si>
    <t>0VMXPAOT700052B</t>
  </si>
  <si>
    <t>03.23.2026</t>
  </si>
  <si>
    <t>0323PXCXC00327D</t>
  </si>
  <si>
    <t>Adriano Da Silva Moura</t>
  </si>
  <si>
    <t>AJ035ANAPKH/AZ</t>
  </si>
  <si>
    <t>02TEPXAX200408N</t>
  </si>
  <si>
    <t>GABRIELA TIMICH</t>
  </si>
  <si>
    <t>02TMPXBX900360H</t>
  </si>
  <si>
    <t>ANGELITA PRISCILA MARQUES</t>
  </si>
  <si>
    <t>AC036DXADKG/AZ</t>
  </si>
  <si>
    <t>030RPXBXA00040H</t>
  </si>
  <si>
    <t>MARISTELA CALDERARI</t>
  </si>
  <si>
    <t>02TGPXBX600281Z</t>
  </si>
  <si>
    <t>MICHELLE TAWIL ZEIN</t>
  </si>
  <si>
    <t>AC018DN4DKG/AZ</t>
  </si>
  <si>
    <t>030APXAXC00047B</t>
  </si>
  <si>
    <t>Luiz Pannuti Carra</t>
  </si>
  <si>
    <t>BLK6P3CX300023L</t>
  </si>
  <si>
    <t>Fabiane F. Cauneto</t>
  </si>
  <si>
    <t>BLK6P3CWC00059V</t>
  </si>
  <si>
    <t>AC024DN1DKG/AZ</t>
  </si>
  <si>
    <t>030EPXAY600061E</t>
  </si>
  <si>
    <t>Tania Popow Evangelista</t>
  </si>
  <si>
    <t>MARIA DE FATIMA GIRARD REI</t>
  </si>
  <si>
    <t>Joyce Pereira Santos</t>
  </si>
  <si>
    <t>MXD-A40K100E</t>
  </si>
  <si>
    <t>VICENTE DE PAULA CRUZ</t>
  </si>
  <si>
    <t>Israel Valentim Alves</t>
  </si>
  <si>
    <t>AJ052TNNDKH/EA</t>
  </si>
  <si>
    <t>0V4APAGXC00005R</t>
  </si>
  <si>
    <t>Andressa Gildin</t>
  </si>
  <si>
    <t>0321PXCX500215J</t>
  </si>
  <si>
    <t>Solange De Lima Gois</t>
  </si>
  <si>
    <t xml:space="preserve"> </t>
  </si>
  <si>
    <t>02TKPXBY100137B</t>
  </si>
  <si>
    <t>Rogerio Bezerra Salvaia</t>
  </si>
  <si>
    <t>AC048DXADKG/AZ</t>
  </si>
  <si>
    <t>030YPXBY600192V</t>
  </si>
  <si>
    <t>LORENA VISENTAINER</t>
  </si>
  <si>
    <t>030DPXBY900054V</t>
  </si>
  <si>
    <t>Enzo Sarolli vilar</t>
  </si>
  <si>
    <t>02TGPXBY400239V</t>
  </si>
  <si>
    <t>CONCEITO BRASIL ENGENHARIA LTDA</t>
  </si>
  <si>
    <t>0321PXAX600180M</t>
  </si>
  <si>
    <t>FERNANDO DANTAS MANOEL</t>
  </si>
  <si>
    <t>AJ025ANAPKH/AZ</t>
  </si>
  <si>
    <t>02TDPXCXC00192Y</t>
  </si>
  <si>
    <t>Adilson Peruchi</t>
  </si>
  <si>
    <t>Roberto Martino</t>
  </si>
  <si>
    <t>AJ068ANAPKH2AZ</t>
  </si>
  <si>
    <t>OBRAS SOCIAIS NOSSA SENHORA</t>
  </si>
  <si>
    <t>02TMPXBY100175V</t>
  </si>
  <si>
    <t>SOL PNEUS LTDA</t>
  </si>
  <si>
    <t>RENATO FREITAS DA SILVA</t>
  </si>
  <si>
    <t>AR12DYFABWKNAZ</t>
  </si>
  <si>
    <t>FELIPE DE AZEVEDO RAIMUNDO</t>
  </si>
  <si>
    <t>DAIANE SILVA MARQUES</t>
  </si>
  <si>
    <t>030DPXBY700171B</t>
  </si>
  <si>
    <t>SANTOS COMERCIO DE REFRIGER</t>
  </si>
  <si>
    <t>030DPXBY700168M</t>
  </si>
  <si>
    <t>02TMPXBX900450H</t>
  </si>
  <si>
    <t>Oswaldo Moratas</t>
  </si>
  <si>
    <t>02TKPXBY900050Z</t>
  </si>
  <si>
    <t>Letícia Marques Vieira</t>
  </si>
  <si>
    <t>0321PXCXA01156T</t>
  </si>
  <si>
    <t>Lucas Da Paz Pedro</t>
  </si>
  <si>
    <t>AM036TNVDKH/EU</t>
  </si>
  <si>
    <t>0HG7PDCX800881A</t>
  </si>
  <si>
    <t>STR SERVICE COMERCIO</t>
  </si>
  <si>
    <t>0321PXCX800532A</t>
  </si>
  <si>
    <t>José Luiz</t>
  </si>
  <si>
    <t>02TGPXDT600162P</t>
  </si>
  <si>
    <t>MIlton Dias Pereira Junior</t>
  </si>
  <si>
    <t>02TGPXBXA00391H</t>
  </si>
  <si>
    <t>Solange Aparecida Pereira</t>
  </si>
  <si>
    <t>0323PXCX400165L</t>
  </si>
  <si>
    <t>Lais Hoffmann Madureira</t>
  </si>
  <si>
    <t>02TGPXBX100046R</t>
  </si>
  <si>
    <t>Lucas Vicente Iosimura</t>
  </si>
  <si>
    <t>0321PXCX800697P</t>
  </si>
  <si>
    <t>Jessica Ferrari</t>
  </si>
  <si>
    <t>AC060DN4DKG/AZ</t>
  </si>
  <si>
    <t>030ZPXAY200074Z</t>
  </si>
  <si>
    <t>RUAN MICHEL MORAES</t>
  </si>
  <si>
    <t>03.13.2026</t>
  </si>
  <si>
    <t>AC060DNCDKG/AZ</t>
  </si>
  <si>
    <t>Gustavo Bruggemann</t>
  </si>
  <si>
    <t>02TDPXCY400298A</t>
  </si>
  <si>
    <t>Estevao Alves de Lucena</t>
  </si>
  <si>
    <t>AM280AXVANC/EA</t>
  </si>
  <si>
    <t>0YBBPAOY100004X</t>
  </si>
  <si>
    <t>LTX CLIMATIZACAO LTDA</t>
  </si>
  <si>
    <t>AM036KN4DCH/AA</t>
  </si>
  <si>
    <t>BR CAPITAL DISTRIBUIDORA DE TIT</t>
  </si>
  <si>
    <t>Luísa Navarro</t>
  </si>
  <si>
    <t>03.24.2026</t>
  </si>
  <si>
    <t>AR12DXFAAWKNAZ</t>
  </si>
  <si>
    <t>Diogo Sesti</t>
  </si>
  <si>
    <t>AR09DYFAAWKNAZ</t>
  </si>
  <si>
    <t>032CPXCXC02134A</t>
  </si>
  <si>
    <t>AMANDA BENTO</t>
  </si>
  <si>
    <t>03.31.2026</t>
  </si>
  <si>
    <t>03.26.2026</t>
  </si>
  <si>
    <t>0321PXAX600359L</t>
  </si>
  <si>
    <t>Luis Alfredo Olbertz</t>
  </si>
  <si>
    <t>02TMPXBX900330J</t>
  </si>
  <si>
    <t>Gorete Oliveira Feldman</t>
  </si>
  <si>
    <t>MIM-H04N</t>
  </si>
  <si>
    <t>B0791030519AE01</t>
  </si>
  <si>
    <t>JOAO MARTINS FELCAR</t>
  </si>
  <si>
    <t>Grasielle Hopfer</t>
  </si>
  <si>
    <t>Ieda Aparecida Dos Santos Silva</t>
  </si>
  <si>
    <t>02TGPXDX700267R</t>
  </si>
  <si>
    <t>AM024NN1DCH/AZ</t>
  </si>
  <si>
    <t>B9MRP3HXA00048Z</t>
  </si>
  <si>
    <t>AM018NN1DCH/AZ</t>
  </si>
  <si>
    <t>B9MPP3HR800003L</t>
  </si>
  <si>
    <t>NORBERTO GUIMARAES LOPEZ</t>
  </si>
  <si>
    <t>AM120KXMDHH/TC</t>
  </si>
  <si>
    <t>0F39PAORB00013W</t>
  </si>
  <si>
    <t>Carlos Bedani</t>
  </si>
  <si>
    <t>AM200AXVANC/EA</t>
  </si>
  <si>
    <t>0YB7PAOY300015Y</t>
  </si>
  <si>
    <t>BIS DISTRIBUIDORA DE VEI</t>
  </si>
  <si>
    <t>AM028NN1DKH/EU</t>
  </si>
  <si>
    <t>BF5LP3HX300664D</t>
  </si>
  <si>
    <t>Leonardo Marcelino Santos</t>
  </si>
  <si>
    <t>AM060TXMDKH/AZ</t>
  </si>
  <si>
    <t>0V5TPAFXA00013N</t>
  </si>
  <si>
    <t>Laura Müller Valente</t>
  </si>
  <si>
    <t>030JPXBXC00453A</t>
  </si>
  <si>
    <t>Paulo Roberto Ribeiro</t>
  </si>
  <si>
    <t>AM036KNMDCH/AZ</t>
  </si>
  <si>
    <t>0R5CPALT300014R</t>
  </si>
  <si>
    <t>Felipe Santana de Paula</t>
  </si>
  <si>
    <t>030EPXAY600034H</t>
  </si>
  <si>
    <t>Thiago Flareco</t>
  </si>
  <si>
    <t>AM036NN1DKH/EU</t>
  </si>
  <si>
    <t>BF5NP3HXC00208Z</t>
  </si>
  <si>
    <t>REGINA LONGO SANCHEZ</t>
  </si>
  <si>
    <t>Leonardo Renan Fiorin</t>
  </si>
  <si>
    <t>030RPXBY400074Y</t>
  </si>
  <si>
    <t>Hugo Alves dos Santos</t>
  </si>
  <si>
    <t>02TKPXBX100020P</t>
  </si>
  <si>
    <t>BRUNO DE CARVALHO MARTOREL</t>
  </si>
  <si>
    <t>AR24DXFAAWKXAZ</t>
  </si>
  <si>
    <t>033QPXBY200357R</t>
  </si>
  <si>
    <t>PC6NUSMANW</t>
  </si>
  <si>
    <t>Wagner Oliveira</t>
  </si>
  <si>
    <t>BF5LP3HX800136J</t>
  </si>
  <si>
    <t>TGSP 88 Empreendimentos Imob</t>
  </si>
  <si>
    <t>04.13.2026</t>
  </si>
  <si>
    <t>CONSTRUTORA DOTTO</t>
  </si>
  <si>
    <t>AM009KNQDCH/AZ</t>
  </si>
  <si>
    <t>0RAVPAGWC00018Z</t>
  </si>
  <si>
    <t>Fred Kenji Eada</t>
  </si>
  <si>
    <t>0309PXAY700069B</t>
  </si>
  <si>
    <t>MARIO GOMES DA SILVA</t>
  </si>
  <si>
    <t>0309PXAY400025P</t>
  </si>
  <si>
    <t>Sidnei Dos Reis Lopes</t>
  </si>
  <si>
    <t>01.19.2026</t>
  </si>
  <si>
    <t>AC024DN4DKG/AZ</t>
  </si>
  <si>
    <t>030FPXAX200036P</t>
  </si>
  <si>
    <t>William Robert Nahra Filho</t>
  </si>
  <si>
    <t>01.28.2026</t>
  </si>
  <si>
    <t>02TGPXDX700082A</t>
  </si>
  <si>
    <t>ANDRIGO CARNELOSSI</t>
  </si>
  <si>
    <t>02TGPXBY200032F</t>
  </si>
  <si>
    <t>Ligia Pereira Hubert</t>
  </si>
  <si>
    <t>0344PXBY900196P</t>
  </si>
  <si>
    <t>GIULIA MADEIROS GUIDONI</t>
  </si>
  <si>
    <t>02TKPXBX300204A</t>
  </si>
  <si>
    <t>030FPXAXA00141N</t>
  </si>
  <si>
    <t>Vinicius Milhan Hipolito</t>
  </si>
  <si>
    <t>02TGPXBRA00159M</t>
  </si>
  <si>
    <t>FERNANDO A VASCONCELLOS</t>
  </si>
  <si>
    <t>AJ052TN1DKH/EA</t>
  </si>
  <si>
    <t>BLGDP3HX600112H</t>
  </si>
  <si>
    <t>JOEL ADRIANO DOS SANTOS</t>
  </si>
  <si>
    <t>0YP0PAOX900008Z</t>
  </si>
  <si>
    <t>Vicente Balzano Neto</t>
  </si>
  <si>
    <t>Wu Yunan</t>
  </si>
  <si>
    <t>Vitorio Santana da Silva</t>
  </si>
  <si>
    <t>Lucas Souza de Araújo</t>
  </si>
  <si>
    <t>LUIZ RICARDO MALHEIROS</t>
  </si>
  <si>
    <t>LUCAS CAMARGO PEREIRA LIMA</t>
  </si>
  <si>
    <t>Ana carolina Rossetti</t>
  </si>
  <si>
    <t>RODRIGO FORTES</t>
  </si>
  <si>
    <t>Daniel Sampaio</t>
  </si>
  <si>
    <t>João Luis Gondim Rodrigue</t>
  </si>
  <si>
    <t>LUCIMAR DOS SANTOS FERREIRA</t>
  </si>
  <si>
    <t>Roberta Marques</t>
  </si>
  <si>
    <t>AC036TXADKC/AZ</t>
  </si>
  <si>
    <t>Gustavo Goulart Lemos</t>
  </si>
  <si>
    <t>02TMPXBR900178V</t>
  </si>
  <si>
    <t>PEDRO ALEXANDRE</t>
  </si>
  <si>
    <t>Luis Felipe Gradwol</t>
  </si>
  <si>
    <t>0HG7PDCX800313A</t>
  </si>
  <si>
    <t>NFT Treinamento e Saúde</t>
  </si>
  <si>
    <t>030YPXBY600011J</t>
  </si>
  <si>
    <t>02.23.2026</t>
  </si>
  <si>
    <t>AJ050ANAPKHSAZ</t>
  </si>
  <si>
    <t>Jose Fernando Do Amaral Nunes Borg</t>
  </si>
  <si>
    <t>0V5TPAFX800053T</t>
  </si>
  <si>
    <t>MORAES ELETRONICOS E INFORM</t>
  </si>
  <si>
    <t>B9MRP3HTB00154P</t>
  </si>
  <si>
    <t>Arnaldo Santos Trentin Morai</t>
  </si>
  <si>
    <t>02.24.2026</t>
  </si>
  <si>
    <t>030YPXBY800078H</t>
  </si>
  <si>
    <t>Vinicius Moraes gomes</t>
  </si>
  <si>
    <t>AJ026TN1DKH/EA</t>
  </si>
  <si>
    <t>Lisiane Sguario</t>
  </si>
  <si>
    <t>Mauro Ike</t>
  </si>
  <si>
    <t>0344PXBY900096T</t>
  </si>
  <si>
    <t>MICHELLE DA SILVA CORREIA</t>
  </si>
  <si>
    <t>02TGPXBX200211R</t>
  </si>
  <si>
    <t>Diego Parpinelli</t>
  </si>
  <si>
    <t>AM260JXVAFH/AZ</t>
  </si>
  <si>
    <t>0U9QPAOWB00011R</t>
  </si>
  <si>
    <t>A. V. N. Do Carmo Serviços LT</t>
  </si>
  <si>
    <t>02TEPXCXA00087W</t>
  </si>
  <si>
    <t>JESSIKA MARIA TERRA</t>
  </si>
  <si>
    <t>FLAVIA PARDO DE ANDRADE...</t>
  </si>
  <si>
    <t>02TDPXCX400643B</t>
  </si>
  <si>
    <t>FERNANDA HENRIQUES</t>
  </si>
  <si>
    <t>02TMPXBX600187T</t>
  </si>
  <si>
    <t>KELLI ANDREIA COBOSKI</t>
  </si>
  <si>
    <t>0311PXAX100106K</t>
  </si>
  <si>
    <t>Eduardo Bortolotti Costa</t>
  </si>
  <si>
    <t>BLGDP3HX700054P</t>
  </si>
  <si>
    <t>Andre Ingnez</t>
  </si>
  <si>
    <t>02TEPXCYB00051N</t>
  </si>
  <si>
    <t>Marcos Walter Sessa Filho</t>
  </si>
  <si>
    <t>0321PXCXA00131X</t>
  </si>
  <si>
    <t>Igor matheus Grimm</t>
  </si>
  <si>
    <t>02TEPXCYB00012F</t>
  </si>
  <si>
    <t>THIAGO RIBEIRO ARTACHO</t>
  </si>
  <si>
    <t>02TKPXBX700155K</t>
  </si>
  <si>
    <t>Erica Schiavon</t>
  </si>
  <si>
    <t>AM048ANHPKH/AZ</t>
  </si>
  <si>
    <t>0VZUPALX700047L</t>
  </si>
  <si>
    <t>KARINA MANTOAN FERREIRA</t>
  </si>
  <si>
    <t>Lucas Silva</t>
  </si>
  <si>
    <t>03.18.2026</t>
  </si>
  <si>
    <t>AJ020ANAPKH2AZ</t>
  </si>
  <si>
    <t>Daniel Macagnan</t>
  </si>
  <si>
    <t>FREDERICO DE CAMPOS VENTRIGLIA</t>
  </si>
  <si>
    <t>BLK6P3CX400056W</t>
  </si>
  <si>
    <t>ZHIAG GENFEN</t>
  </si>
  <si>
    <t>AM030NN4DCH/AA</t>
  </si>
  <si>
    <t>0T8FPAGY300018M</t>
  </si>
  <si>
    <t>Felipe Jardim Prates Ferreira</t>
  </si>
  <si>
    <t>AM300KXVANH/TL</t>
  </si>
  <si>
    <t>0FCYPAOT200016N</t>
  </si>
  <si>
    <t>12.17.2025</t>
  </si>
  <si>
    <t>AM028TNVDKH/EU</t>
  </si>
  <si>
    <t>0HG6PDCX900064A</t>
  </si>
  <si>
    <t>Endrigo Rampaso</t>
  </si>
  <si>
    <t>0HG7PDAW900052X</t>
  </si>
  <si>
    <t>Fernando Romeu Miassi</t>
  </si>
  <si>
    <t>MXD-A64K100E</t>
  </si>
  <si>
    <t>M1502O66X610122</t>
  </si>
  <si>
    <t>0321PXCXA01720X</t>
  </si>
  <si>
    <t>Richard Frank</t>
  </si>
  <si>
    <t>01.16.2026</t>
  </si>
  <si>
    <t>AM170TN4DKH/EA</t>
  </si>
  <si>
    <t>COMERCIAL PROTON LIMITADA</t>
  </si>
  <si>
    <t>Mathias Braga</t>
  </si>
  <si>
    <t>01.23.2026</t>
  </si>
  <si>
    <t>02TMPXBY100174H</t>
  </si>
  <si>
    <t>Marcos Phaulo Passos Bastos</t>
  </si>
  <si>
    <t>02TMPXBY100230J</t>
  </si>
  <si>
    <t>01.27.2026</t>
  </si>
  <si>
    <t>02TGPXBY700025R</t>
  </si>
  <si>
    <t>MARCOS FERREIRA</t>
  </si>
  <si>
    <t>Renato Antonio Casagrande</t>
  </si>
  <si>
    <t>AM100KXMDFH/TC</t>
  </si>
  <si>
    <t>0FHMPAOX700006V</t>
  </si>
  <si>
    <t>Guilerme de Souza Aranha Moreira</t>
  </si>
  <si>
    <t>0321PXCXA00875D</t>
  </si>
  <si>
    <t>AAC AR CONDICIONADO LTDA</t>
  </si>
  <si>
    <t>0315PXBX900232L</t>
  </si>
  <si>
    <t>JOSE RICARDO FABBI</t>
  </si>
  <si>
    <t>Glossários de Cores (Em Domicílio)</t>
  </si>
  <si>
    <t>OS Aguardando Agendamento</t>
  </si>
  <si>
    <t>OS Aguardando Análise do Resultado da Visita</t>
  </si>
  <si>
    <t>OS Travada / Dúvida</t>
  </si>
  <si>
    <t>OS Aguardando lançamento de Extra Man AM</t>
  </si>
  <si>
    <t>OS Aguardando Aprovação de Extra Man / KM</t>
  </si>
  <si>
    <t>OS em Reparo Completo</t>
  </si>
  <si>
    <t>OS pronta para fechamento</t>
  </si>
  <si>
    <t>OS Extra Man em execução /aguardando peças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</si>
</sst>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mmddyyyy"/>
    <numFmt numFmtId="166" formatCode="dd.mm.yyyy"/>
    <numFmt numFmtId="167" formatCode="d.m.yyyy"/>
  </numFmts>
  <fonts count="20">
    <font>
      <sz val="10.0"/>
      <color rgb="FF000000"/>
      <name val="Arial"/>
      <scheme val="minor"/>
    </font>
    <font>
      <b/>
      <sz val="9.0"/>
      <color rgb="FFFFFFFF"/>
      <name val="Arial"/>
    </font>
    <font>
      <color theme="1"/>
      <name val="Arial"/>
      <scheme val="minor"/>
    </font>
    <font>
      <color rgb="FFFFFFFF"/>
      <name val="Roboto"/>
    </font>
    <font>
      <color rgb="FF434343"/>
      <name val="Arial"/>
      <scheme val="minor"/>
    </font>
    <font>
      <color rgb="FF000000"/>
      <name val="Arial"/>
    </font>
    <font>
      <color theme="1"/>
      <name val="Roboto"/>
    </font>
    <font>
      <color rgb="FF434343"/>
      <name val="Roboto"/>
    </font>
    <font>
      <color theme="1"/>
      <name val="Arial"/>
    </font>
    <font>
      <color rgb="FF000000"/>
      <name val="&quot;Aptos Narrow&quot;"/>
    </font>
    <font>
      <sz val="10.0"/>
      <color rgb="FF000000"/>
      <name val="Arial"/>
    </font>
    <font>
      <color theme="1"/>
      <name val="Aptos Narrow"/>
    </font>
    <font>
      <color rgb="FF434343"/>
      <name val="Arial"/>
    </font>
    <font>
      <sz val="8.0"/>
      <color rgb="FF333333"/>
      <name val="Arial"/>
    </font>
    <font>
      <sz val="11.0"/>
      <color theme="1"/>
      <name val="&quot;Tahoma&quot;"/>
    </font>
    <font>
      <b/>
      <color theme="1"/>
      <name val="Arial"/>
    </font>
    <font>
      <sz val="11.0"/>
      <color rgb="FF000000"/>
      <name val="&quot;Aptos Narrow&quot;"/>
    </font>
    <font>
      <b/>
      <sz val="11.0"/>
      <color theme="1"/>
      <name val="Arial"/>
    </font>
    <font/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373F6B"/>
        <bgColor rgb="FF373F6B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F6F8F9"/>
        <bgColor rgb="FFF6F8F9"/>
      </patternFill>
    </fill>
    <fill>
      <patternFill patternType="solid">
        <fgColor theme="5"/>
        <bgColor theme="5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373F6B"/>
      </left>
      <right style="thin">
        <color rgb="FF373F6B"/>
      </right>
      <top style="thin">
        <color rgb="FF292F50"/>
      </top>
      <bottom style="thin">
        <color rgb="FF292F5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9CB9C"/>
      </left>
      <right style="thin">
        <color rgb="FFF9CB9C"/>
      </right>
      <top style="thin">
        <color rgb="FFF9CB9C"/>
      </top>
      <bottom style="thin">
        <color rgb="FFF9CB9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92F5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5" numFmtId="49" xfId="0" applyAlignment="1" applyFont="1" applyNumberFormat="1">
      <alignment readingOrder="0" shrinkToFit="0" vertical="bottom" wrapText="0"/>
    </xf>
    <xf borderId="0" fillId="3" fontId="4" numFmtId="49" xfId="0" applyAlignment="1" applyFill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7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8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center" wrapText="0"/>
    </xf>
    <xf borderId="0" fillId="4" fontId="4" numFmtId="49" xfId="0" applyAlignment="1" applyFill="1" applyFont="1" applyNumberForma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5" fontId="4" numFmtId="49" xfId="0" applyAlignment="1" applyFill="1" applyFont="1" applyNumberFormat="1">
      <alignment shrinkToFit="0" vertical="center" wrapText="0"/>
    </xf>
    <xf borderId="0" fillId="6" fontId="4" numFmtId="49" xfId="0" applyAlignment="1" applyFill="1" applyFont="1" applyNumberFormat="1">
      <alignment shrinkToFit="0" vertical="center" wrapText="0"/>
    </xf>
    <xf borderId="0" fillId="7" fontId="4" numFmtId="0" xfId="0" applyAlignment="1" applyFill="1" applyFont="1">
      <alignment shrinkToFit="0" vertical="center" wrapText="0"/>
    </xf>
    <xf borderId="0" fillId="7" fontId="5" numFmtId="49" xfId="0" applyAlignment="1" applyFont="1" applyNumberFormat="1">
      <alignment readingOrder="0" shrinkToFit="0" vertical="bottom" wrapText="0"/>
    </xf>
    <xf borderId="0" fillId="7" fontId="4" numFmtId="49" xfId="0" applyAlignment="1" applyFont="1" applyNumberFormat="1">
      <alignment shrinkToFit="0" vertical="center" wrapText="0"/>
    </xf>
    <xf borderId="0" fillId="7" fontId="4" numFmtId="0" xfId="0" applyAlignment="1" applyFont="1">
      <alignment shrinkToFit="0" vertical="center" wrapText="0"/>
    </xf>
    <xf borderId="0" fillId="7" fontId="6" numFmtId="0" xfId="0" applyAlignment="1" applyFont="1">
      <alignment readingOrder="0" shrinkToFit="0" vertical="center" wrapText="0"/>
    </xf>
    <xf borderId="0" fillId="7" fontId="4" numFmtId="0" xfId="0" applyAlignment="1" applyFont="1">
      <alignment horizontal="center" readingOrder="0" shrinkToFit="0" vertical="center" wrapText="0"/>
    </xf>
    <xf borderId="0" fillId="7" fontId="2" numFmtId="164" xfId="0" applyAlignment="1" applyFont="1" applyNumberFormat="1">
      <alignment horizontal="right" readingOrder="0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7" fontId="6" numFmtId="0" xfId="0" applyAlignment="1" applyFont="1">
      <alignment readingOrder="0" shrinkToFit="0" vertical="center" wrapText="0"/>
    </xf>
    <xf borderId="0" fillId="7" fontId="7" numFmtId="0" xfId="0" applyAlignment="1" applyFont="1">
      <alignment horizontal="center" readingOrder="0" shrinkToFit="0" vertical="center" wrapText="0"/>
    </xf>
    <xf borderId="0" fillId="7" fontId="2" numFmtId="164" xfId="0" applyAlignment="1" applyFont="1" applyNumberFormat="1">
      <alignment shrinkToFit="0" vertical="center" wrapText="0"/>
    </xf>
    <xf borderId="0" fillId="7" fontId="2" numFmtId="49" xfId="0" applyAlignment="1" applyFont="1" applyNumberFormat="1">
      <alignment shrinkToFit="0" vertical="center" wrapText="0"/>
    </xf>
    <xf borderId="0" fillId="7" fontId="8" numFmtId="49" xfId="0" applyAlignment="1" applyFont="1" applyNumberFormat="1">
      <alignment readingOrder="0" shrinkToFit="0" vertical="bottom" wrapText="0"/>
    </xf>
    <xf borderId="0" fillId="7" fontId="2" numFmtId="49" xfId="0" applyAlignment="1" applyFont="1" applyNumberFormat="1">
      <alignment readingOrder="0" shrinkToFit="0" vertical="center" wrapText="0"/>
    </xf>
    <xf borderId="0" fillId="7" fontId="2" numFmtId="0" xfId="0" applyFont="1"/>
    <xf borderId="0" fillId="8" fontId="4" numFmtId="0" xfId="0" applyAlignment="1" applyFill="1" applyFont="1">
      <alignment shrinkToFit="0" vertical="center" wrapText="0"/>
    </xf>
    <xf borderId="0" fillId="8" fontId="5" numFmtId="49" xfId="0" applyAlignment="1" applyFont="1" applyNumberFormat="1">
      <alignment readingOrder="0" shrinkToFit="0" vertical="bottom" wrapText="0"/>
    </xf>
    <xf borderId="0" fillId="8" fontId="4" numFmtId="49" xfId="0" applyAlignment="1" applyFont="1" applyNumberFormat="1">
      <alignment shrinkToFit="0" vertical="center" wrapText="0"/>
    </xf>
    <xf borderId="0" fillId="8" fontId="4" numFmtId="0" xfId="0" applyAlignment="1" applyFont="1">
      <alignment shrinkToFit="0" vertical="center" wrapText="0"/>
    </xf>
    <xf borderId="0" fillId="8" fontId="6" numFmtId="0" xfId="0" applyAlignment="1" applyFont="1">
      <alignment readingOrder="0" shrinkToFit="0" vertical="center" wrapText="0"/>
    </xf>
    <xf borderId="0" fillId="8" fontId="4" numFmtId="0" xfId="0" applyAlignment="1" applyFont="1">
      <alignment horizontal="center" readingOrder="0" shrinkToFit="0" vertical="center" wrapText="0"/>
    </xf>
    <xf borderId="0" fillId="8" fontId="2" numFmtId="164" xfId="0" applyAlignment="1" applyFont="1" applyNumberFormat="1">
      <alignment horizontal="right" readingOrder="0" shrinkToFit="0" vertical="center" wrapText="0"/>
    </xf>
    <xf borderId="0" fillId="8" fontId="2" numFmtId="0" xfId="0" applyAlignment="1" applyFont="1">
      <alignment readingOrder="0" shrinkToFit="0" vertical="center" wrapText="0"/>
    </xf>
    <xf borderId="0" fillId="8" fontId="7" numFmtId="0" xfId="0" applyAlignment="1" applyFont="1">
      <alignment horizontal="center" readingOrder="0" shrinkToFit="0" vertical="center" wrapText="0"/>
    </xf>
    <xf borderId="0" fillId="8" fontId="2" numFmtId="164" xfId="0" applyAlignment="1" applyFont="1" applyNumberFormat="1">
      <alignment shrinkToFit="0" vertical="center" wrapText="0"/>
    </xf>
    <xf borderId="0" fillId="8" fontId="2" numFmtId="49" xfId="0" applyAlignment="1" applyFont="1" applyNumberFormat="1">
      <alignment shrinkToFit="0" vertical="center" wrapText="0"/>
    </xf>
    <xf borderId="0" fillId="8" fontId="8" numFmtId="49" xfId="0" applyAlignment="1" applyFont="1" applyNumberFormat="1">
      <alignment readingOrder="0" shrinkToFit="0" vertical="bottom" wrapText="0"/>
    </xf>
    <xf borderId="0" fillId="8" fontId="2" numFmtId="49" xfId="0" applyAlignment="1" applyFont="1" applyNumberFormat="1">
      <alignment readingOrder="0" shrinkToFit="0" vertical="center" wrapText="0"/>
    </xf>
    <xf borderId="0" fillId="8" fontId="2" numFmtId="0" xfId="0" applyFont="1"/>
    <xf borderId="0" fillId="8" fontId="6" numFmtId="0" xfId="0" applyAlignment="1" applyFont="1">
      <alignment readingOrder="0" shrinkToFit="0" vertical="center" wrapText="0"/>
    </xf>
    <xf borderId="0" fillId="8" fontId="2" numFmtId="0" xfId="0" applyAlignment="1" applyFont="1">
      <alignment readingOrder="0" shrinkToFit="0" vertical="center" wrapText="0"/>
    </xf>
    <xf borderId="0" fillId="8" fontId="2" numFmtId="164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9" fontId="4" numFmtId="49" xfId="0" applyAlignment="1" applyFill="1" applyFont="1" applyNumberFormat="1">
      <alignment shrinkToFit="0" vertical="center" wrapText="0"/>
    </xf>
    <xf borderId="0" fillId="10" fontId="4" numFmtId="0" xfId="0" applyAlignment="1" applyFill="1" applyFont="1">
      <alignment shrinkToFit="0" vertical="center" wrapText="0"/>
    </xf>
    <xf borderId="0" fillId="10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center" wrapText="0"/>
    </xf>
    <xf borderId="0" fillId="10" fontId="4" numFmtId="0" xfId="0" applyAlignment="1" applyFont="1">
      <alignment shrinkToFit="0" vertical="center" wrapText="0"/>
    </xf>
    <xf borderId="0" fillId="10" fontId="6" numFmtId="0" xfId="0" applyAlignment="1" applyFont="1">
      <alignment readingOrder="0" shrinkToFit="0" vertical="center" wrapText="0"/>
    </xf>
    <xf borderId="0" fillId="10" fontId="4" numFmtId="0" xfId="0" applyAlignment="1" applyFont="1">
      <alignment horizontal="center" readingOrder="0" shrinkToFit="0" vertical="center" wrapText="0"/>
    </xf>
    <xf borderId="0" fillId="10" fontId="2" numFmtId="164" xfId="0" applyAlignment="1" applyFont="1" applyNumberFormat="1">
      <alignment horizontal="right" readingOrder="0" shrinkToFit="0" vertical="center" wrapText="0"/>
    </xf>
    <xf borderId="0" fillId="10" fontId="2" numFmtId="0" xfId="0" applyAlignment="1" applyFont="1">
      <alignment readingOrder="0" shrinkToFit="0" vertical="center" wrapText="0"/>
    </xf>
    <xf borderId="0" fillId="10" fontId="7" numFmtId="0" xfId="0" applyAlignment="1" applyFont="1">
      <alignment horizontal="center" readingOrder="0" shrinkToFit="0" vertical="center" wrapText="0"/>
    </xf>
    <xf borderId="0" fillId="10" fontId="2" numFmtId="164" xfId="0" applyAlignment="1" applyFont="1" applyNumberFormat="1">
      <alignment shrinkToFit="0" vertical="center" wrapText="0"/>
    </xf>
    <xf borderId="0" fillId="10" fontId="2" numFmtId="49" xfId="0" applyAlignment="1" applyFont="1" applyNumberFormat="1">
      <alignment shrinkToFit="0" vertical="center" wrapText="0"/>
    </xf>
    <xf borderId="0" fillId="10" fontId="8" numFmtId="49" xfId="0" applyAlignment="1" applyFont="1" applyNumberFormat="1">
      <alignment readingOrder="0" shrinkToFit="0" vertical="bottom" wrapText="0"/>
    </xf>
    <xf borderId="0" fillId="10" fontId="2" numFmtId="49" xfId="0" applyAlignment="1" applyFont="1" applyNumberFormat="1">
      <alignment readingOrder="0" shrinkToFit="0" vertical="center" wrapText="0"/>
    </xf>
    <xf borderId="0" fillId="10" fontId="2" numFmtId="0" xfId="0" applyFont="1"/>
    <xf borderId="0" fillId="10" fontId="2" numFmtId="0" xfId="0" applyAlignment="1" applyFont="1">
      <alignment readingOrder="0" shrinkToFit="0" vertical="center" wrapText="0"/>
    </xf>
    <xf borderId="0" fillId="11" fontId="4" numFmtId="49" xfId="0" applyAlignment="1" applyFill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3" fontId="5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9" numFmtId="49" xfId="0" applyAlignment="1" applyFont="1" applyNumberFormat="1">
      <alignment readingOrder="0" shrinkToFit="0" vertical="bottom" wrapText="0"/>
    </xf>
    <xf borderId="0" fillId="0" fontId="10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1" numFmtId="49" xfId="0" applyAlignment="1" applyFont="1" applyNumberFormat="1">
      <alignment readingOrder="0" shrinkToFit="0" vertical="bottom" wrapText="0"/>
    </xf>
    <xf borderId="0" fillId="0" fontId="8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readingOrder="0" shrinkToFit="0" vertical="center" wrapText="0"/>
    </xf>
    <xf borderId="0" fillId="0" fontId="12" numFmtId="49" xfId="0" applyAlignment="1" applyFont="1" applyNumberFormat="1">
      <alignment readingOrder="0" shrinkToFit="0" vertical="center" wrapText="0"/>
    </xf>
    <xf borderId="0" fillId="3" fontId="13" numFmtId="49" xfId="0" applyAlignment="1" applyFont="1" applyNumberFormat="1">
      <alignment readingOrder="0" shrinkToFit="0" vertical="center" wrapText="0"/>
    </xf>
    <xf borderId="0" fillId="12" fontId="5" numFmtId="49" xfId="0" applyAlignment="1" applyFill="1" applyFont="1" applyNumberFormat="1">
      <alignment readingOrder="0" shrinkToFit="0" vertical="bottom" wrapText="0"/>
    </xf>
    <xf borderId="0" fillId="0" fontId="5" numFmtId="49" xfId="0" applyAlignment="1" applyFont="1" applyNumberFormat="1">
      <alignment readingOrder="0" shrinkToFit="0" vertical="bottom" wrapText="0"/>
    </xf>
    <xf borderId="0" fillId="3" fontId="13" numFmtId="49" xfId="0" applyAlignment="1" applyFont="1" applyNumberFormat="1">
      <alignment readingOrder="0" shrinkToFit="0" vertical="center" wrapText="0"/>
    </xf>
    <xf borderId="0" fillId="0" fontId="10" numFmtId="49" xfId="0" applyAlignment="1" applyFont="1" applyNumberFormat="1">
      <alignment readingOrder="0" shrinkToFit="0" vertical="center" wrapText="0"/>
    </xf>
    <xf borderId="2" fillId="9" fontId="7" numFmtId="164" xfId="0" applyAlignment="1" applyBorder="1" applyFont="1" applyNumberFormat="1">
      <alignment horizontal="right" shrinkToFit="0" vertical="center" wrapText="0"/>
    </xf>
    <xf borderId="0" fillId="0" fontId="4" numFmtId="165" xfId="0" applyAlignment="1" applyFont="1" applyNumberFormat="1">
      <alignment horizontal="left" shrinkToFit="0" vertical="center" wrapText="0"/>
    </xf>
    <xf borderId="0" fillId="0" fontId="5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center" wrapText="0"/>
    </xf>
    <xf borderId="0" fillId="0" fontId="5" numFmtId="49" xfId="0" applyAlignment="1" applyFont="1" applyNumberFormat="1">
      <alignment readingOrder="0" shrinkToFit="0" vertical="bottom" wrapText="0"/>
    </xf>
    <xf borderId="0" fillId="3" fontId="13" numFmtId="49" xfId="0" applyAlignment="1" applyFont="1" applyNumberForma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14" numFmtId="49" xfId="0" applyAlignment="1" applyFont="1" applyNumberFormat="1">
      <alignment readingOrder="0" shrinkToFit="0" vertical="center" wrapText="0"/>
    </xf>
    <xf borderId="3" fillId="3" fontId="8" numFmtId="49" xfId="0" applyAlignment="1" applyBorder="1" applyFont="1" applyNumberFormat="1">
      <alignment shrinkToFit="0" vertical="bottom" wrapText="0"/>
    </xf>
    <xf borderId="4" fillId="4" fontId="7" numFmtId="49" xfId="0" applyAlignment="1" applyBorder="1" applyFont="1" applyNumberFormat="1">
      <alignment shrinkToFit="0" vertical="center" wrapText="0"/>
    </xf>
    <xf borderId="1" fillId="2" fontId="3" numFmtId="0" xfId="0" applyAlignment="1" applyBorder="1" applyFont="1">
      <alignment horizontal="left" readingOrder="0" shrinkToFit="0" vertical="center" wrapText="1"/>
    </xf>
    <xf borderId="0" fillId="0" fontId="11" numFmtId="49" xfId="0" applyAlignment="1" applyFont="1" applyNumberFormat="1">
      <alignment shrinkToFit="0" vertical="bottom" wrapText="0"/>
    </xf>
    <xf borderId="3" fillId="3" fontId="7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shrinkToFit="0" vertical="center" wrapText="0"/>
    </xf>
    <xf borderId="2" fillId="9" fontId="7" numFmtId="0" xfId="0" applyAlignment="1" applyBorder="1" applyFont="1">
      <alignment horizontal="center" shrinkToFit="0" vertical="center" wrapText="0"/>
    </xf>
    <xf borderId="2" fillId="0" fontId="6" numFmtId="0" xfId="0" applyAlignment="1" applyBorder="1" applyFont="1">
      <alignment shrinkToFit="0" vertical="center" wrapText="0"/>
    </xf>
    <xf borderId="5" fillId="0" fontId="6" numFmtId="0" xfId="0" applyAlignment="1" applyBorder="1" applyFont="1">
      <alignment shrinkToFit="0" vertical="center" wrapText="0"/>
    </xf>
    <xf borderId="0" fillId="3" fontId="7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0" fillId="0" fontId="9" numFmtId="49" xfId="0" applyAlignment="1" applyFont="1" applyNumberForma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8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9" numFmtId="49" xfId="0" applyAlignment="1" applyFont="1" applyNumberFormat="1">
      <alignment readingOrder="0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166" xfId="0" applyAlignment="1" applyFont="1" applyNumberFormat="1">
      <alignment readingOrder="0" vertical="bottom"/>
    </xf>
    <xf borderId="0" fillId="0" fontId="9" numFmtId="167" xfId="0" applyAlignment="1" applyFont="1" applyNumberFormat="1">
      <alignment readingOrder="0" vertical="bottom"/>
    </xf>
    <xf borderId="0" fillId="0" fontId="8" numFmtId="49" xfId="0" applyAlignment="1" applyFont="1" applyNumberFormat="1">
      <alignment vertical="bottom"/>
    </xf>
    <xf borderId="6" fillId="0" fontId="17" numFmtId="0" xfId="0" applyAlignment="1" applyBorder="1" applyFont="1">
      <alignment horizontal="center" readingOrder="0"/>
    </xf>
    <xf borderId="7" fillId="0" fontId="18" numFmtId="0" xfId="0" applyBorder="1" applyFont="1"/>
    <xf borderId="8" fillId="0" fontId="18" numFmtId="0" xfId="0" applyBorder="1" applyFont="1"/>
    <xf borderId="9" fillId="11" fontId="19" numFmtId="0" xfId="0" applyAlignment="1" applyBorder="1" applyFont="1">
      <alignment horizontal="center"/>
    </xf>
    <xf borderId="6" fillId="0" fontId="19" numFmtId="0" xfId="0" applyAlignment="1" applyBorder="1" applyFont="1">
      <alignment horizontal="center" readingOrder="0"/>
    </xf>
    <xf borderId="9" fillId="4" fontId="19" numFmtId="0" xfId="0" applyAlignment="1" applyBorder="1" applyFont="1">
      <alignment horizontal="center"/>
    </xf>
    <xf borderId="9" fillId="7" fontId="19" numFmtId="0" xfId="0" applyAlignment="1" applyBorder="1" applyFont="1">
      <alignment horizontal="center"/>
    </xf>
    <xf borderId="9" fillId="13" fontId="19" numFmtId="0" xfId="0" applyAlignment="1" applyBorder="1" applyFill="1" applyFont="1">
      <alignment horizontal="center"/>
    </xf>
    <xf borderId="9" fillId="6" fontId="19" numFmtId="0" xfId="0" applyAlignment="1" applyBorder="1" applyFont="1">
      <alignment horizontal="center"/>
    </xf>
    <xf borderId="9" fillId="14" fontId="19" numFmtId="0" xfId="0" applyAlignment="1" applyBorder="1" applyFill="1" applyFont="1">
      <alignment horizontal="center"/>
    </xf>
    <xf borderId="9" fillId="15" fontId="19" numFmtId="0" xfId="0" applyAlignment="1" applyBorder="1" applyFill="1" applyFont="1">
      <alignment horizontal="center"/>
    </xf>
    <xf borderId="9" fillId="0" fontId="19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4">
    <tableStyle count="4" pivot="0" name="Gerenciamento I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Ss Fecha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licitação de Peç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nco de Informações OSs Cance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69" displayName="Em_Domicílio" name="Em_Domicílio" id="1">
  <autoFilter ref="$A$1:$V$169"/>
  <tableColumns count="22">
    <tableColumn name="Data de abertura" id="1"/>
    <tableColumn name="OS" id="2"/>
    <tableColumn name="Nome do Cliente" id="3"/>
    <tableColumn name="Modelo da Condensadora / Evaporadora" id="4"/>
    <tableColumn name="N° de série" id="5"/>
    <tableColumn name="TAT" id="6"/>
    <tableColumn name="Peça Necessária?" id="7"/>
    <tableColumn name="Agendado?" id="8"/>
    <tableColumn name="Data da Visita" id="9"/>
    <tableColumn name="Necessita Retorno?" id="10"/>
    <tableColumn name="Peça Necessária para Retorno? " id="11"/>
    <tableColumn name="Retorno Agendado?" id="12"/>
    <tableColumn name="Data da 2° Visita" id="13"/>
    <tableColumn name="Reparo finalizado?" id="14"/>
    <tableColumn name="Toda Documentação está disponível?" id="15"/>
    <tableColumn name="Necessário VOID? " id="16"/>
    <tableColumn name="SAW ( Extra Man )" id="17"/>
    <tableColumn name="SAW ( KM )" id="18"/>
    <tableColumn name="Data da Finalização OS" id="19"/>
    <tableColumn name="Analista" id="20"/>
    <tableColumn name="N° GA (SÓ PARA AM)" id="21"/>
    <tableColumn name="Observações" id="22"/>
  </tableColumns>
  <tableStyleInfo name="Gerenciamento IH-style" showColumnStripes="0" showFirstColumn="1" showLastColumn="1" showRowStripes="1"/>
</table>
</file>

<file path=xl/tables/table2.xml><?xml version="1.0" encoding="utf-8"?>
<table xmlns="http://schemas.openxmlformats.org/spreadsheetml/2006/main" ref="A1:D467" displayName="Relação_OSs_Fechadas" name="Relação_OSs_Fechadas" id="2">
  <tableColumns count="4">
    <tableColumn name="OS's Fechadas" id="1"/>
    <tableColumn name="Nome do Cliente" id="2"/>
    <tableColumn name="Data da Finalização OS" id="3"/>
    <tableColumn name="Observações" id="4"/>
  </tableColumns>
  <tableStyleInfo name="OSs Fechadas-style" showColumnStripes="0" showFirstColumn="1" showLastColumn="1" showRowStripes="1"/>
</table>
</file>

<file path=xl/tables/table3.xml><?xml version="1.0" encoding="utf-8"?>
<table xmlns="http://schemas.openxmlformats.org/spreadsheetml/2006/main" ref="A1:I78" displayName="Tabela_1" name="Tabela_1" id="3">
  <autoFilter ref="$A$1:$I$78"/>
  <tableColumns count="9">
    <tableColumn name="4174728314" id="1"/>
    <tableColumn name="OS" id="2"/>
    <tableColumn name="Nome do Cliente" id="3"/>
    <tableColumn name="Tipo do serviço" id="4"/>
    <tableColumn name="Modelo da Condensadora / Evaporadora" id="5"/>
    <tableColumn name="N° de série" id="6"/>
    <tableColumn name="Peça a ser solicitada" id="7"/>
    <tableColumn name="Peça Solicitada?" id="8"/>
    <tableColumn name="Observações" id="9"/>
  </tableColumns>
  <tableStyleInfo name="Solicitação de Peças-style" showColumnStripes="0" showFirstColumn="1" showLastColumn="1" showRowStripes="1"/>
</table>
</file>

<file path=xl/tables/table4.xml><?xml version="1.0" encoding="utf-8"?>
<table xmlns="http://schemas.openxmlformats.org/spreadsheetml/2006/main" ref="A1:X55" displayName="OSs_Canceladas" name="OSs_Canceladas" id="4">
  <tableColumns count="24">
    <tableColumn name="Data de Abertura" id="1"/>
    <tableColumn name="OS" id="2"/>
    <tableColumn name="Nome do Cliente" id="3"/>
    <tableColumn name="Tipo do serviço" id="4"/>
    <tableColumn name="Modelo da Condensadora / Evaporadora" id="5"/>
    <tableColumn name="N° de série" id="6"/>
    <tableColumn name="Agendado?" id="7"/>
    <tableColumn name="Data da Visita" id="8"/>
    <tableColumn name="Peça Nescessária?" id="9"/>
    <tableColumn name="Peça Solicitada?" id="10"/>
    <tableColumn name="Peça em Estoque?" id="11"/>
    <tableColumn name="Necessita Retorno?" id="12"/>
    <tableColumn name="Retorno Agendado?" id="13"/>
    <tableColumn name="Data da 2° Visita" id="14"/>
    <tableColumn name="Peça Nescessária para Retorno?" id="15"/>
    <tableColumn name="Peça Solicitada para Retorno?" id="16"/>
    <tableColumn name="Peça em Estoque para Retorno?" id="17"/>
    <tableColumn name="Toda Documentação está disponível?" id="18"/>
    <tableColumn name="SAW ( Extra Man )" id="19"/>
    <tableColumn name="SAW ( KM )" id="20"/>
    <tableColumn name="N° GA (SÓ PARA AM)" id="21"/>
    <tableColumn name="Data da Finalização OS" id="22"/>
    <tableColumn name="Analista" id="23"/>
    <tableColumn name="Observações" id="24"/>
  </tableColumns>
  <tableStyleInfo name="Banco de Informações OSs Cance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20.13"/>
    <col customWidth="1" min="3" max="3" width="32.13"/>
    <col customWidth="1" min="4" max="4" width="17.38"/>
    <col customWidth="1" min="5" max="5" width="20.13"/>
    <col customWidth="1" min="6" max="6" width="8.5"/>
    <col customWidth="1" min="7" max="7" width="22.88"/>
    <col customWidth="1" min="8" max="9" width="20.13"/>
    <col customWidth="1" min="10" max="10" width="22.88"/>
    <col customWidth="1" min="11" max="11" width="21.25"/>
    <col customWidth="1" min="12" max="12" width="23.38"/>
    <col customWidth="1" min="13" max="13" width="20.13"/>
    <col customWidth="1" min="14" max="14" width="16.88"/>
    <col customWidth="1" min="15" max="16" width="23.63"/>
    <col customWidth="1" min="17" max="17" width="23.0"/>
    <col customWidth="1" min="18" max="18" width="19.25"/>
    <col customWidth="1" min="19" max="19" width="23.38"/>
    <col customWidth="1" min="20" max="20" width="15.13"/>
    <col customWidth="1" min="21" max="21" width="21.13"/>
    <col customWidth="1" min="22" max="22" width="48.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ht="22.5" customHeight="1">
      <c r="A2" s="7" t="str">
        <f>IFERROR(__xludf.DUMMYFUNCTION("IFERROR(TO_TEXT(INDEX(Base!E:E, MATCH(B2, Base!A:A, 0))), ""mm.dd.yyyy"")
"),"11.10.2025")</f>
        <v>11.10.2025</v>
      </c>
      <c r="B2" s="8" t="s">
        <v>22</v>
      </c>
      <c r="C2" s="9" t="str">
        <f t="array" ref="C2">IFERROR(INDEX(Base!I:I,MATCH(B2,Base!A:A,0)),"Nome do Cliente")
</f>
        <v>MARIO GOMES DA SILVA</v>
      </c>
      <c r="D2" s="10" t="str">
        <f t="array" ref="D2">IFERROR(INDEX(Base!G:G,MATCH(B2,Base!A:A,0)),"Modelo da Cond.")</f>
        <v>AC018DN1DKG/AZ</v>
      </c>
      <c r="E2" s="10" t="str">
        <f t="array" ref="E2">IFERROR(INDEX(Base!H:H,MATCH(B2,Base!A:A,0)),"N° Serial")</f>
        <v>0309PXAY700069B</v>
      </c>
      <c r="F2" s="10">
        <f t="shared" ref="F2:F169" si="1">INT(TODAY() - DATE(RIGHT(A2,4), LEFT(A2,2), MID(A2,4,2)))
</f>
        <v>160</v>
      </c>
      <c r="G2" s="11" t="s">
        <v>23</v>
      </c>
      <c r="H2" s="12" t="b">
        <v>1</v>
      </c>
      <c r="I2" s="13">
        <v>45982.0</v>
      </c>
      <c r="J2" s="14" t="s">
        <v>24</v>
      </c>
      <c r="K2" s="11" t="s">
        <v>25</v>
      </c>
      <c r="L2" s="15" t="b">
        <v>1</v>
      </c>
      <c r="M2" s="16" t="s">
        <v>26</v>
      </c>
      <c r="N2" s="12" t="b">
        <v>0</v>
      </c>
      <c r="O2" s="17"/>
      <c r="P2" s="14"/>
      <c r="Q2" s="17"/>
      <c r="R2" s="14"/>
      <c r="S2" s="18"/>
      <c r="T2" s="19"/>
      <c r="U2" s="20"/>
      <c r="V2" s="21" t="s">
        <v>27</v>
      </c>
    </row>
    <row r="3" ht="22.5" customHeight="1">
      <c r="A3" s="7" t="str">
        <f>IFERROR(__xludf.DUMMYFUNCTION("IFERROR(TO_TEXT(INDEX(Base!E:E, MATCH(B3, Base!A:A, 0))), ""mm.dd.yyyy"")
"),"12.01.2025")</f>
        <v>12.01.2025</v>
      </c>
      <c r="B3" s="8" t="s">
        <v>28</v>
      </c>
      <c r="C3" s="22" t="str">
        <f t="array" ref="C3">IFERROR(INDEX(Base!I:I,MATCH(B3,Base!A:A,0)),"Nome do Cliente")
</f>
        <v>Bruno Henrique Dannas Pelogia</v>
      </c>
      <c r="D3" s="10" t="str">
        <f t="array" ref="D3">IFERROR(INDEX(Base!G:G,MATCH(B3,Base!A:A,0)),"Modelo da Cond.")</f>
        <v>AJ050AXJ2KH/AZ</v>
      </c>
      <c r="E3" s="10" t="str">
        <f t="array" ref="E3">IFERROR(INDEX(Base!H:H,MATCH(B3,Base!A:A,0)),"N° Serial")</f>
        <v>02TGPXBX200299V</v>
      </c>
      <c r="F3" s="10">
        <f t="shared" si="1"/>
        <v>139</v>
      </c>
      <c r="G3" s="11" t="s">
        <v>23</v>
      </c>
      <c r="H3" s="12" t="b">
        <v>1</v>
      </c>
      <c r="I3" s="13">
        <v>46029.0</v>
      </c>
      <c r="J3" s="14" t="s">
        <v>24</v>
      </c>
      <c r="K3" s="11" t="s">
        <v>29</v>
      </c>
      <c r="L3" s="15" t="b">
        <v>1</v>
      </c>
      <c r="M3" s="23">
        <v>46136.0</v>
      </c>
      <c r="N3" s="12" t="b">
        <v>0</v>
      </c>
      <c r="O3" s="14"/>
      <c r="P3" s="14"/>
      <c r="Q3" s="14"/>
      <c r="R3" s="14"/>
      <c r="S3" s="18"/>
      <c r="T3" s="19"/>
      <c r="U3" s="20"/>
      <c r="V3" s="21" t="s">
        <v>30</v>
      </c>
    </row>
    <row r="4" ht="22.5" customHeight="1">
      <c r="A4" s="7" t="str">
        <f>IFERROR(__xludf.DUMMYFUNCTION("IFERROR(TO_TEXT(INDEX(Base!E:E, MATCH(B4, Base!A:A, 0))), ""mm.dd.yyyy"")
"),"02.26.2026")</f>
        <v>02.26.2026</v>
      </c>
      <c r="B4" s="8" t="s">
        <v>31</v>
      </c>
      <c r="C4" s="24" t="str">
        <f t="array" ref="C4">IFERROR(INDEX(Base!I:I,MATCH(B4,Base!A:A,0)),"Nome do Cliente")
</f>
        <v>Lorena De Souza cordeiro</v>
      </c>
      <c r="D4" s="10" t="str">
        <f t="array" ref="D4">IFERROR(INDEX(Base!G:G,MATCH(B4,Base!A:A,0)),"Modelo da Cond.")</f>
        <v>AM070TXMDKH/AZ</v>
      </c>
      <c r="E4" s="10" t="str">
        <f t="array" ref="E4">IFERROR(INDEX(Base!H:H,MATCH(B4,Base!A:A,0)),"N° Serial")</f>
        <v>0VMXPAOT700052B</v>
      </c>
      <c r="F4" s="10">
        <f t="shared" si="1"/>
        <v>52</v>
      </c>
      <c r="G4" s="11" t="s">
        <v>29</v>
      </c>
      <c r="H4" s="12" t="b">
        <v>1</v>
      </c>
      <c r="I4" s="13">
        <v>46111.0</v>
      </c>
      <c r="J4" s="14" t="s">
        <v>23</v>
      </c>
      <c r="K4" s="11" t="s">
        <v>23</v>
      </c>
      <c r="L4" s="15" t="b">
        <v>0</v>
      </c>
      <c r="M4" s="23"/>
      <c r="N4" s="12" t="b">
        <v>1</v>
      </c>
      <c r="O4" s="14" t="s">
        <v>24</v>
      </c>
      <c r="P4" s="14" t="s">
        <v>23</v>
      </c>
      <c r="Q4" s="14" t="s">
        <v>32</v>
      </c>
      <c r="R4" s="14" t="s">
        <v>32</v>
      </c>
      <c r="S4" s="18"/>
      <c r="T4" s="19"/>
      <c r="U4" s="20"/>
      <c r="V4" s="21" t="s">
        <v>33</v>
      </c>
    </row>
    <row r="5" ht="22.5" customHeight="1">
      <c r="A5" s="7" t="str">
        <f>IFERROR(__xludf.DUMMYFUNCTION("IFERROR(TO_TEXT(INDEX(Base!E:E, MATCH(B5, Base!A:A, 0))), ""mm.dd.yyyy"")
"),"12.19.2025")</f>
        <v>12.19.2025</v>
      </c>
      <c r="B5" s="8" t="s">
        <v>34</v>
      </c>
      <c r="C5" s="25" t="str">
        <f t="array" ref="C5">IFERROR(INDEX(Base!I:I,MATCH(B5,Base!A:A,0)),"Nome do Cliente")
</f>
        <v>Eliane Vignatti Avancini</v>
      </c>
      <c r="D5" s="10" t="str">
        <f t="array" ref="D5">IFERROR(INDEX(Base!G:G,MATCH(B5,Base!A:A,0)),"Modelo da Cond.")</f>
        <v>AC048TN4DKC/AZ</v>
      </c>
      <c r="E5" s="10" t="str">
        <f t="array" ref="E5">IFERROR(INDEX(Base!H:H,MATCH(B5,Base!A:A,0)),"N° Serial")</f>
        <v>BF09P3HW800039W</v>
      </c>
      <c r="F5" s="10">
        <f t="shared" si="1"/>
        <v>121</v>
      </c>
      <c r="G5" s="11" t="s">
        <v>23</v>
      </c>
      <c r="H5" s="12" t="b">
        <v>1</v>
      </c>
      <c r="I5" s="13">
        <v>46041.0</v>
      </c>
      <c r="J5" s="14" t="s">
        <v>24</v>
      </c>
      <c r="K5" s="11" t="s">
        <v>35</v>
      </c>
      <c r="L5" s="15" t="b">
        <v>1</v>
      </c>
      <c r="M5" s="23">
        <v>46126.0</v>
      </c>
      <c r="N5" s="12" t="b">
        <v>0</v>
      </c>
      <c r="O5" s="14"/>
      <c r="P5" s="14"/>
      <c r="Q5" s="14"/>
      <c r="R5" s="14"/>
      <c r="S5" s="18"/>
      <c r="T5" s="19"/>
      <c r="U5" s="20"/>
      <c r="V5" s="21" t="s">
        <v>36</v>
      </c>
    </row>
    <row r="6" ht="22.5" customHeight="1">
      <c r="A6" s="7" t="str">
        <f>IFERROR(__xludf.DUMMYFUNCTION("IFERROR(TO_TEXT(INDEX(Base!E:E, MATCH(B6, Base!A:A, 0))), ""mm.dd.yyyy"")
"),"12.17.2025")</f>
        <v>12.17.2025</v>
      </c>
      <c r="B6" s="8" t="s">
        <v>37</v>
      </c>
      <c r="C6" s="26" t="str">
        <f t="array" ref="C6">IFERROR(INDEX(Base!I:I,MATCH(B6,Base!A:A,0)),"Nome do Cliente")
</f>
        <v>Endrigo Rampaso</v>
      </c>
      <c r="D6" s="10" t="str">
        <f t="array" ref="D6">IFERROR(INDEX(Base!G:G,MATCH(B6,Base!A:A,0)),"Modelo da Cond.")</f>
        <v>AM028TNVDKH/EU</v>
      </c>
      <c r="E6" s="10" t="str">
        <f t="array" ref="E6">IFERROR(INDEX(Base!H:H,MATCH(B6,Base!A:A,0)),"N° Serial")</f>
        <v>0HG6PDCX900064A</v>
      </c>
      <c r="F6" s="10">
        <f t="shared" si="1"/>
        <v>123</v>
      </c>
      <c r="G6" s="11" t="s">
        <v>29</v>
      </c>
      <c r="H6" s="12" t="b">
        <v>1</v>
      </c>
      <c r="I6" s="13">
        <v>46017.0</v>
      </c>
      <c r="J6" s="14" t="s">
        <v>23</v>
      </c>
      <c r="K6" s="11" t="s">
        <v>23</v>
      </c>
      <c r="L6" s="15" t="b">
        <v>0</v>
      </c>
      <c r="M6" s="18"/>
      <c r="N6" s="12" t="b">
        <v>1</v>
      </c>
      <c r="O6" s="14" t="s">
        <v>24</v>
      </c>
      <c r="P6" s="14"/>
      <c r="Q6" s="14" t="s">
        <v>32</v>
      </c>
      <c r="R6" s="14" t="s">
        <v>32</v>
      </c>
      <c r="S6" s="18"/>
      <c r="T6" s="19"/>
      <c r="U6" s="20" t="s">
        <v>38</v>
      </c>
      <c r="V6" s="21" t="s">
        <v>39</v>
      </c>
    </row>
    <row r="7" ht="22.5" customHeight="1">
      <c r="A7" s="7" t="str">
        <f>IFERROR(__xludf.DUMMYFUNCTION("IFERROR(TO_TEXT(INDEX(Base!E:E, MATCH(B7, Base!A:A, 0))), ""mm.dd.yyyy"")
"),"01.05.2026")</f>
        <v>01.05.2026</v>
      </c>
      <c r="B7" s="8" t="s">
        <v>40</v>
      </c>
      <c r="C7" s="26" t="str">
        <f t="array" ref="C7">IFERROR(INDEX(Base!I:I,MATCH(B7,Base!A:A,0)),"Nome do Cliente")
</f>
        <v>Fernando Romeu Miassi</v>
      </c>
      <c r="D7" s="10" t="str">
        <f t="array" ref="D7">IFERROR(INDEX(Base!G:G,MATCH(B7,Base!A:A,0)),"Modelo da Cond.")</f>
        <v>AM036TNVDKH/EU</v>
      </c>
      <c r="E7" s="10" t="str">
        <f t="array" ref="E7">IFERROR(INDEX(Base!H:H,MATCH(B7,Base!A:A,0)),"N° Serial")</f>
        <v>0HG7PDAW900052X</v>
      </c>
      <c r="F7" s="10">
        <f t="shared" si="1"/>
        <v>104</v>
      </c>
      <c r="G7" s="11" t="s">
        <v>23</v>
      </c>
      <c r="H7" s="12" t="b">
        <v>1</v>
      </c>
      <c r="I7" s="13">
        <v>46034.0</v>
      </c>
      <c r="J7" s="14" t="s">
        <v>24</v>
      </c>
      <c r="K7" s="11" t="s">
        <v>29</v>
      </c>
      <c r="L7" s="15" t="b">
        <v>1</v>
      </c>
      <c r="M7" s="23">
        <v>46084.0</v>
      </c>
      <c r="N7" s="12" t="b">
        <v>1</v>
      </c>
      <c r="O7" s="14" t="s">
        <v>24</v>
      </c>
      <c r="P7" s="14" t="s">
        <v>23</v>
      </c>
      <c r="Q7" s="14" t="s">
        <v>32</v>
      </c>
      <c r="R7" s="14" t="s">
        <v>32</v>
      </c>
      <c r="S7" s="18"/>
      <c r="T7" s="19"/>
      <c r="U7" s="20"/>
      <c r="V7" s="21" t="s">
        <v>39</v>
      </c>
    </row>
    <row r="8" ht="22.5" customHeight="1">
      <c r="A8" s="27" t="str">
        <f>IFERROR(__xludf.DUMMYFUNCTION("IFERROR(TO_TEXT(INDEX(Base!E:E, MATCH(B8, Base!A:A, 0))), ""mm.dd.yyyy"")
"),"01.07.2026")</f>
        <v>01.07.2026</v>
      </c>
      <c r="B8" s="28" t="s">
        <v>41</v>
      </c>
      <c r="C8" s="29" t="str">
        <f t="array" ref="C8">IFERROR(INDEX(Base!I:I,MATCH(B8,Base!A:A,0)),"Nome do Cliente")
</f>
        <v>Sidnei Dos Reis Lopes</v>
      </c>
      <c r="D8" s="30" t="str">
        <f t="array" ref="D8">IFERROR(INDEX(Base!G:G,MATCH(B8,Base!A:A,0)),"Modelo da Cond.")</f>
        <v>AC018DN1DKG/AZ</v>
      </c>
      <c r="E8" s="30" t="str">
        <f t="array" ref="E8">IFERROR(INDEX(Base!H:H,MATCH(B8,Base!A:A,0)),"N° Serial")</f>
        <v>0309PXAY400025P</v>
      </c>
      <c r="F8" s="30">
        <f t="shared" si="1"/>
        <v>102</v>
      </c>
      <c r="G8" s="31" t="s">
        <v>29</v>
      </c>
      <c r="H8" s="32" t="b">
        <v>0</v>
      </c>
      <c r="I8" s="33"/>
      <c r="J8" s="34"/>
      <c r="K8" s="35"/>
      <c r="L8" s="36" t="b">
        <v>0</v>
      </c>
      <c r="M8" s="37"/>
      <c r="N8" s="32" t="b">
        <v>0</v>
      </c>
      <c r="O8" s="34"/>
      <c r="P8" s="34"/>
      <c r="Q8" s="34"/>
      <c r="R8" s="34"/>
      <c r="S8" s="37"/>
      <c r="T8" s="38"/>
      <c r="U8" s="39"/>
      <c r="V8" s="40" t="s">
        <v>42</v>
      </c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</row>
    <row r="9" ht="22.5" customHeight="1">
      <c r="A9" s="42" t="str">
        <f>IFERROR(__xludf.DUMMYFUNCTION("IFERROR(TO_TEXT(INDEX(Base!E:E, MATCH(B9, Base!A:A, 0))), ""mm.dd.yyyy"")
"),"01.09.2026")</f>
        <v>01.09.2026</v>
      </c>
      <c r="B9" s="43" t="s">
        <v>43</v>
      </c>
      <c r="C9" s="44" t="str">
        <f t="array" ref="C9">IFERROR(INDEX(Base!I:I,MATCH(B9,Base!A:A,0)),"Nome do Cliente")
</f>
        <v>VICENTE DE PAULA CRUZ</v>
      </c>
      <c r="D9" s="45" t="str">
        <f t="array" ref="D9">IFERROR(INDEX(Base!G:G,MATCH(B9,Base!A:A,0)),"Modelo da Cond.")</f>
        <v>MXD-A64K100E</v>
      </c>
      <c r="E9" s="45" t="str">
        <f t="array" ref="E9">IFERROR(INDEX(Base!H:H,MATCH(B9,Base!A:A,0)),"N° Serial")</f>
        <v>M1502O66X610122</v>
      </c>
      <c r="F9" s="45">
        <f t="shared" si="1"/>
        <v>100</v>
      </c>
      <c r="G9" s="46" t="s">
        <v>29</v>
      </c>
      <c r="H9" s="47" t="b">
        <v>1</v>
      </c>
      <c r="I9" s="48">
        <v>46078.0</v>
      </c>
      <c r="J9" s="49" t="s">
        <v>23</v>
      </c>
      <c r="K9" s="46" t="s">
        <v>23</v>
      </c>
      <c r="L9" s="50" t="b">
        <v>0</v>
      </c>
      <c r="M9" s="51"/>
      <c r="N9" s="47" t="b">
        <v>1</v>
      </c>
      <c r="O9" s="49" t="s">
        <v>23</v>
      </c>
      <c r="P9" s="49" t="s">
        <v>23</v>
      </c>
      <c r="Q9" s="49" t="s">
        <v>44</v>
      </c>
      <c r="R9" s="49" t="s">
        <v>45</v>
      </c>
      <c r="S9" s="51"/>
      <c r="T9" s="52"/>
      <c r="U9" s="53"/>
      <c r="V9" s="54" t="s">
        <v>46</v>
      </c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</row>
    <row r="10" ht="22.5" customHeight="1">
      <c r="A10" s="42" t="str">
        <f>IFERROR(__xludf.DUMMYFUNCTION("IFERROR(TO_TEXT(INDEX(Base!E:E, MATCH(B10, Base!A:A, 0))), ""mm.dd.yyyy"")
"),"01.16.2026")</f>
        <v>01.16.2026</v>
      </c>
      <c r="B10" s="43" t="s">
        <v>47</v>
      </c>
      <c r="C10" s="44" t="str">
        <f t="array" ref="C10">IFERROR(INDEX(Base!I:I,MATCH(B10,Base!A:A,0)),"Nome do Cliente")
</f>
        <v>COMERCIAL PROTON LIMITADA</v>
      </c>
      <c r="D10" s="45" t="str">
        <f t="array" ref="D10">IFERROR(INDEX(Base!G:G,MATCH(B10,Base!A:A,0)),"Modelo da Cond.")</f>
        <v>AM170TN4DKH/EA</v>
      </c>
      <c r="E10" s="45" t="str">
        <f t="array" ref="E10">IFERROR(INDEX(Base!H:H,MATCH(B10,Base!A:A,0)),"N° Serial")</f>
        <v>M000</v>
      </c>
      <c r="F10" s="45">
        <f t="shared" si="1"/>
        <v>93</v>
      </c>
      <c r="G10" s="46" t="s">
        <v>35</v>
      </c>
      <c r="H10" s="47" t="b">
        <v>0</v>
      </c>
      <c r="I10" s="48"/>
      <c r="J10" s="49"/>
      <c r="K10" s="56"/>
      <c r="L10" s="50" t="b">
        <v>0</v>
      </c>
      <c r="M10" s="51"/>
      <c r="N10" s="47" t="b">
        <v>0</v>
      </c>
      <c r="O10" s="57"/>
      <c r="P10" s="49"/>
      <c r="Q10" s="57"/>
      <c r="R10" s="57"/>
      <c r="S10" s="51"/>
      <c r="T10" s="52"/>
      <c r="U10" s="53"/>
      <c r="V10" s="54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</row>
    <row r="11" ht="22.5" customHeight="1">
      <c r="A11" s="42" t="str">
        <f>IFERROR(__xludf.DUMMYFUNCTION("IFERROR(TO_TEXT(INDEX(Base!E:E, MATCH(B11, Base!A:A, 0))), ""mm.dd.yyyy"")
"),"01.14.2026")</f>
        <v>01.14.2026</v>
      </c>
      <c r="B11" s="43" t="s">
        <v>48</v>
      </c>
      <c r="C11" s="44" t="str">
        <f t="array" ref="C11">IFERROR(INDEX(Base!I:I,MATCH(B11,Base!A:A,0)),"Nome do Cliente")
</f>
        <v>Thiago Nascimento Pontes</v>
      </c>
      <c r="D11" s="45" t="str">
        <f t="array" ref="D11">IFERROR(INDEX(Base!G:G,MATCH(B11,Base!A:A,0)),"Modelo da Cond.")</f>
        <v>AJ100DXJ5KH/AZ</v>
      </c>
      <c r="E11" s="45" t="str">
        <f t="array" ref="E11">IFERROR(INDEX(Base!H:H,MATCH(B11,Base!A:A,0)),"N° Serial")</f>
        <v>0344PXBY500159H</v>
      </c>
      <c r="F11" s="45">
        <f t="shared" si="1"/>
        <v>95</v>
      </c>
      <c r="G11" s="46" t="s">
        <v>23</v>
      </c>
      <c r="H11" s="47" t="b">
        <v>1</v>
      </c>
      <c r="I11" s="48">
        <v>46085.0</v>
      </c>
      <c r="J11" s="49" t="s">
        <v>24</v>
      </c>
      <c r="K11" s="46" t="s">
        <v>35</v>
      </c>
      <c r="L11" s="50" t="b">
        <v>1</v>
      </c>
      <c r="M11" s="58">
        <v>46129.0</v>
      </c>
      <c r="N11" s="47" t="b">
        <v>0</v>
      </c>
      <c r="O11" s="49"/>
      <c r="P11" s="49"/>
      <c r="Q11" s="49"/>
      <c r="R11" s="49"/>
      <c r="S11" s="51"/>
      <c r="T11" s="52"/>
      <c r="U11" s="53"/>
      <c r="V11" s="54" t="s">
        <v>49</v>
      </c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</row>
    <row r="12" ht="22.5" customHeight="1">
      <c r="A12" s="7" t="str">
        <f>IFERROR(__xludf.DUMMYFUNCTION("IFERROR(TO_TEXT(INDEX(Base!E:E, MATCH(B12, Base!A:A, 0))), ""mm.dd.yyyy"")
"),"01.14.2026")</f>
        <v>01.14.2026</v>
      </c>
      <c r="B12" s="8" t="s">
        <v>50</v>
      </c>
      <c r="C12" s="59" t="str">
        <f t="array" ref="C12">IFERROR(INDEX(Base!I:I,MATCH(B12,Base!A:A,0)),"Nome do Cliente")
</f>
        <v>Richard Frank</v>
      </c>
      <c r="D12" s="10" t="str">
        <f t="array" ref="D12">IFERROR(INDEX(Base!G:G,MATCH(B12,Base!A:A,0)),"Modelo da Cond.")</f>
        <v>AJ025ANAPKH2AZ</v>
      </c>
      <c r="E12" s="10" t="str">
        <f t="array" ref="E12">IFERROR(INDEX(Base!H:H,MATCH(B12,Base!A:A,0)),"N° Serial")</f>
        <v>0321PXCXA01720X</v>
      </c>
      <c r="F12" s="10">
        <f t="shared" si="1"/>
        <v>95</v>
      </c>
      <c r="G12" s="11" t="s">
        <v>35</v>
      </c>
      <c r="H12" s="12" t="b">
        <v>0</v>
      </c>
      <c r="I12" s="13"/>
      <c r="J12" s="14"/>
      <c r="K12" s="60"/>
      <c r="L12" s="15" t="b">
        <v>0</v>
      </c>
      <c r="M12" s="18"/>
      <c r="N12" s="12" t="b">
        <v>0</v>
      </c>
      <c r="O12" s="14"/>
      <c r="P12" s="14"/>
      <c r="Q12" s="14"/>
      <c r="R12" s="14"/>
      <c r="S12" s="18"/>
      <c r="T12" s="19"/>
      <c r="U12" s="20"/>
      <c r="V12" s="21"/>
    </row>
    <row r="13" ht="22.5" customHeight="1">
      <c r="A13" s="7" t="str">
        <f>IFERROR(__xludf.DUMMYFUNCTION("IFERROR(TO_TEXT(INDEX(Base!E:E, MATCH(B13, Base!A:A, 0))), ""mm.dd.yyyy"")
"),"01.16.2026")</f>
        <v>01.16.2026</v>
      </c>
      <c r="B13" s="8" t="s">
        <v>51</v>
      </c>
      <c r="C13" s="9" t="str">
        <f t="array" ref="C13">IFERROR(INDEX(Base!I:I,MATCH(B13,Base!A:A,0)),"Nome do Cliente")
</f>
        <v>Mathias Braga</v>
      </c>
      <c r="D13" s="10" t="str">
        <f t="array" ref="D13">IFERROR(INDEX(Base!G:G,MATCH(B13,Base!A:A,0)),"Modelo da Cond.")</f>
        <v>AJ035ANAPKH2AZ</v>
      </c>
      <c r="E13" s="10" t="str">
        <f t="array" ref="E13">IFERROR(INDEX(Base!H:H,MATCH(B13,Base!A:A,0)),"N° Serial")</f>
        <v>M000</v>
      </c>
      <c r="F13" s="10">
        <f t="shared" si="1"/>
        <v>93</v>
      </c>
      <c r="G13" s="11"/>
      <c r="H13" s="12" t="b">
        <v>0</v>
      </c>
      <c r="I13" s="13"/>
      <c r="J13" s="14"/>
      <c r="K13" s="60"/>
      <c r="L13" s="15" t="b">
        <v>0</v>
      </c>
      <c r="M13" s="18"/>
      <c r="N13" s="12" t="b">
        <v>0</v>
      </c>
      <c r="O13" s="14"/>
      <c r="P13" s="14"/>
      <c r="Q13" s="14"/>
      <c r="R13" s="14"/>
      <c r="S13" s="18"/>
      <c r="T13" s="19"/>
      <c r="U13" s="20"/>
      <c r="V13" s="21"/>
    </row>
    <row r="14" ht="22.5" customHeight="1">
      <c r="A14" s="7" t="str">
        <f>IFERROR(__xludf.DUMMYFUNCTION("IFERROR(TO_TEXT(INDEX(Base!E:E, MATCH(B14, Base!A:A, 0))), ""mm.dd.yyyy"")
"),"01.19.2026")</f>
        <v>01.19.2026</v>
      </c>
      <c r="B14" s="8" t="s">
        <v>52</v>
      </c>
      <c r="C14" s="61" t="str">
        <f t="array" ref="C14">IFERROR(INDEX(Base!I:I,MATCH(B14,Base!A:A,0)),"Nome do Cliente")
</f>
        <v>William Robert Nahra Filho</v>
      </c>
      <c r="D14" s="10" t="str">
        <f t="array" ref="D14">IFERROR(INDEX(Base!G:G,MATCH(B14,Base!A:A,0)),"Modelo da Cond.")</f>
        <v>AC024DN4DKG/AZ</v>
      </c>
      <c r="E14" s="10" t="str">
        <f t="array" ref="E14">IFERROR(INDEX(Base!H:H,MATCH(B14,Base!A:A,0)),"N° Serial")</f>
        <v>030FPXAX200036P</v>
      </c>
      <c r="F14" s="10">
        <f t="shared" si="1"/>
        <v>90</v>
      </c>
      <c r="G14" s="11" t="s">
        <v>25</v>
      </c>
      <c r="H14" s="12" t="b">
        <v>1</v>
      </c>
      <c r="I14" s="13">
        <v>46129.0</v>
      </c>
      <c r="J14" s="14" t="s">
        <v>24</v>
      </c>
      <c r="K14" s="11" t="s">
        <v>35</v>
      </c>
      <c r="L14" s="15" t="b">
        <v>0</v>
      </c>
      <c r="M14" s="18"/>
      <c r="N14" s="12" t="b">
        <v>0</v>
      </c>
      <c r="O14" s="14"/>
      <c r="P14" s="14"/>
      <c r="Q14" s="14"/>
      <c r="R14" s="14"/>
      <c r="S14" s="18"/>
      <c r="T14" s="19"/>
      <c r="U14" s="20"/>
      <c r="V14" s="21"/>
    </row>
    <row r="15" ht="22.5" customHeight="1">
      <c r="A15" s="62" t="str">
        <f>IFERROR(__xludf.DUMMYFUNCTION("IFERROR(TO_TEXT(INDEX(Base!E:E, MATCH(B15, Base!A:A, 0))), ""mm.dd.yyyy"")
"),"01.23.2026")</f>
        <v>01.23.2026</v>
      </c>
      <c r="B15" s="63" t="s">
        <v>53</v>
      </c>
      <c r="C15" s="64" t="str">
        <f t="array" ref="C15">IFERROR(INDEX(Base!I:I,MATCH(B15,Base!A:A,0)),"Nome do Cliente")
</f>
        <v>Marcos Phaulo Passos Bastos</v>
      </c>
      <c r="D15" s="65" t="str">
        <f t="array" ref="D15">IFERROR(INDEX(Base!G:G,MATCH(B15,Base!A:A,0)),"Modelo da Cond.")</f>
        <v>AJ080AXJ4KH/AZ</v>
      </c>
      <c r="E15" s="65" t="str">
        <f t="array" ref="E15">IFERROR(INDEX(Base!H:H,MATCH(B15,Base!A:A,0)),"N° Serial")</f>
        <v>02TMPXBY100174H</v>
      </c>
      <c r="F15" s="65">
        <f t="shared" si="1"/>
        <v>86</v>
      </c>
      <c r="G15" s="66" t="s">
        <v>23</v>
      </c>
      <c r="H15" s="67" t="b">
        <v>1</v>
      </c>
      <c r="I15" s="68">
        <v>46055.0</v>
      </c>
      <c r="J15" s="69" t="s">
        <v>24</v>
      </c>
      <c r="K15" s="66" t="s">
        <v>35</v>
      </c>
      <c r="L15" s="70" t="b">
        <v>0</v>
      </c>
      <c r="M15" s="71"/>
      <c r="N15" s="67" t="b">
        <v>0</v>
      </c>
      <c r="O15" s="69"/>
      <c r="P15" s="14"/>
      <c r="Q15" s="69"/>
      <c r="R15" s="69"/>
      <c r="S15" s="71"/>
      <c r="T15" s="72"/>
      <c r="U15" s="73"/>
      <c r="V15" s="74" t="s">
        <v>54</v>
      </c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</row>
    <row r="16" ht="22.5" customHeight="1">
      <c r="A16" s="62" t="str">
        <f>IFERROR(__xludf.DUMMYFUNCTION("IFERROR(TO_TEXT(INDEX(Base!E:E, MATCH(B16, Base!A:A, 0))), ""mm.dd.yyyy"")
"),"01.23.2026")</f>
        <v>01.23.2026</v>
      </c>
      <c r="B16" s="63" t="s">
        <v>55</v>
      </c>
      <c r="C16" s="64" t="str">
        <f t="array" ref="C16">IFERROR(INDEX(Base!I:I,MATCH(B16,Base!A:A,0)),"Nome do Cliente")
</f>
        <v>Marcos Phaulo Passos Bastos</v>
      </c>
      <c r="D16" s="65" t="str">
        <f t="array" ref="D16">IFERROR(INDEX(Base!G:G,MATCH(B16,Base!A:A,0)),"Modelo da Cond.")</f>
        <v>AJ080AXJ4KH/AZ</v>
      </c>
      <c r="E16" s="65" t="str">
        <f t="array" ref="E16">IFERROR(INDEX(Base!H:H,MATCH(B16,Base!A:A,0)),"N° Serial")</f>
        <v>02TMPXBY100230J</v>
      </c>
      <c r="F16" s="65">
        <f t="shared" si="1"/>
        <v>86</v>
      </c>
      <c r="G16" s="66" t="s">
        <v>23</v>
      </c>
      <c r="H16" s="67" t="b">
        <v>1</v>
      </c>
      <c r="I16" s="68">
        <v>46055.0</v>
      </c>
      <c r="J16" s="69" t="s">
        <v>23</v>
      </c>
      <c r="K16" s="66" t="s">
        <v>23</v>
      </c>
      <c r="L16" s="70" t="b">
        <v>0</v>
      </c>
      <c r="M16" s="71"/>
      <c r="N16" s="67" t="b">
        <v>0</v>
      </c>
      <c r="O16" s="76"/>
      <c r="P16" s="14"/>
      <c r="Q16" s="76"/>
      <c r="R16" s="76"/>
      <c r="S16" s="71"/>
      <c r="T16" s="72"/>
      <c r="U16" s="73"/>
      <c r="V16" s="74" t="s">
        <v>56</v>
      </c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</row>
    <row r="17" ht="22.5" customHeight="1">
      <c r="A17" s="7" t="str">
        <f>IFERROR(__xludf.DUMMYFUNCTION("IFERROR(TO_TEXT(INDEX(Base!E:E, MATCH(B17, Base!A:A, 0))), ""mm.dd.yyyy"")
"),"01.27.2026")</f>
        <v>01.27.2026</v>
      </c>
      <c r="B17" s="8" t="s">
        <v>57</v>
      </c>
      <c r="C17" s="61" t="str">
        <f t="array" ref="C17">IFERROR(INDEX(Base!I:I,MATCH(B17,Base!A:A,0)),"Nome do Cliente")
</f>
        <v>MARCOS FERREIRA</v>
      </c>
      <c r="D17" s="10" t="str">
        <f t="array" ref="D17">IFERROR(INDEX(Base!G:G,MATCH(B17,Base!A:A,0)),"Modelo da Cond.")</f>
        <v>AJ050AXJ2KH/AZ</v>
      </c>
      <c r="E17" s="10" t="str">
        <f t="array" ref="E17">IFERROR(INDEX(Base!H:H,MATCH(B17,Base!A:A,0)),"N° Serial")</f>
        <v>02TGPXBY700025R</v>
      </c>
      <c r="F17" s="10">
        <f t="shared" si="1"/>
        <v>82</v>
      </c>
      <c r="G17" s="11" t="s">
        <v>23</v>
      </c>
      <c r="H17" s="12" t="b">
        <v>1</v>
      </c>
      <c r="I17" s="13">
        <v>46080.0</v>
      </c>
      <c r="J17" s="14" t="s">
        <v>24</v>
      </c>
      <c r="K17" s="11" t="s">
        <v>35</v>
      </c>
      <c r="L17" s="15" t="b">
        <v>0</v>
      </c>
      <c r="M17" s="18"/>
      <c r="N17" s="12" t="b">
        <v>0</v>
      </c>
      <c r="O17" s="14"/>
      <c r="P17" s="14"/>
      <c r="Q17" s="14"/>
      <c r="R17" s="14"/>
      <c r="S17" s="18"/>
      <c r="T17" s="19"/>
      <c r="U17" s="20"/>
      <c r="V17" s="21" t="s">
        <v>58</v>
      </c>
    </row>
    <row r="18" ht="22.5" customHeight="1">
      <c r="A18" s="7" t="str">
        <f>IFERROR(__xludf.DUMMYFUNCTION("IFERROR(TO_TEXT(INDEX(Base!E:E, MATCH(B18, Base!A:A, 0))), ""mm.dd.yyyy"")
"),"01.28.2026")</f>
        <v>01.28.2026</v>
      </c>
      <c r="B18" s="8" t="s">
        <v>59</v>
      </c>
      <c r="C18" s="77" t="str">
        <f t="array" ref="C18">IFERROR(INDEX(Base!I:I,MATCH(B18,Base!A:A,0)),"Nome do Cliente")
</f>
        <v>Renato Antonio Casagrande</v>
      </c>
      <c r="D18" s="10" t="str">
        <f t="array" ref="D18">IFERROR(INDEX(Base!G:G,MATCH(B18,Base!A:A,0)),"Modelo da Cond.")</f>
        <v>AC060DN4DKG/AZ</v>
      </c>
      <c r="E18" s="10" t="str">
        <f t="array" ref="E18">IFERROR(INDEX(Base!H:H,MATCH(B18,Base!A:A,0)),"N° Serial")</f>
        <v>M000</v>
      </c>
      <c r="F18" s="10">
        <f t="shared" si="1"/>
        <v>81</v>
      </c>
      <c r="G18" s="11" t="s">
        <v>29</v>
      </c>
      <c r="H18" s="12" t="b">
        <v>0</v>
      </c>
      <c r="I18" s="13"/>
      <c r="J18" s="14"/>
      <c r="K18" s="60"/>
      <c r="L18" s="15" t="b">
        <v>0</v>
      </c>
      <c r="M18" s="18"/>
      <c r="N18" s="12" t="b">
        <v>0</v>
      </c>
      <c r="O18" s="14" t="s">
        <v>23</v>
      </c>
      <c r="P18" s="14"/>
      <c r="Q18" s="14" t="s">
        <v>44</v>
      </c>
      <c r="R18" s="14" t="s">
        <v>44</v>
      </c>
      <c r="S18" s="18"/>
      <c r="T18" s="19"/>
      <c r="U18" s="20"/>
      <c r="V18" s="21" t="s">
        <v>60</v>
      </c>
    </row>
    <row r="19" ht="22.5" customHeight="1">
      <c r="A19" s="7" t="str">
        <f>IFERROR(__xludf.DUMMYFUNCTION("IFERROR(TO_TEXT(INDEX(Base!E:E, MATCH(B19, Base!A:A, 0))), ""mm.dd.yyyy"")
"),"01.28.2026")</f>
        <v>01.28.2026</v>
      </c>
      <c r="B19" s="8" t="s">
        <v>61</v>
      </c>
      <c r="C19" s="61" t="str">
        <f t="array" ref="C19">IFERROR(INDEX(Base!I:I,MATCH(B19,Base!A:A,0)),"Nome do Cliente")
</f>
        <v>ANDRIGO CARNELOSSI</v>
      </c>
      <c r="D19" s="10" t="str">
        <f t="array" ref="D19">IFERROR(INDEX(Base!G:G,MATCH(B19,Base!A:A,0)),"Modelo da Cond.")</f>
        <v>AJ050AXJ2KH/AZ</v>
      </c>
      <c r="E19" s="10" t="str">
        <f t="array" ref="E19">IFERROR(INDEX(Base!H:H,MATCH(B19,Base!A:A,0)),"N° Serial")</f>
        <v>02TGPXDX700082A</v>
      </c>
      <c r="F19" s="10">
        <f t="shared" si="1"/>
        <v>81</v>
      </c>
      <c r="G19" s="11" t="s">
        <v>23</v>
      </c>
      <c r="H19" s="12" t="b">
        <v>1</v>
      </c>
      <c r="I19" s="13">
        <v>46052.0</v>
      </c>
      <c r="J19" s="14" t="s">
        <v>23</v>
      </c>
      <c r="K19" s="11" t="s">
        <v>23</v>
      </c>
      <c r="L19" s="15" t="b">
        <v>0</v>
      </c>
      <c r="M19" s="18"/>
      <c r="N19" s="12" t="b">
        <v>1</v>
      </c>
      <c r="O19" s="14" t="s">
        <v>24</v>
      </c>
      <c r="P19" s="14" t="s">
        <v>24</v>
      </c>
      <c r="Q19" s="14" t="s">
        <v>45</v>
      </c>
      <c r="R19" s="14" t="s">
        <v>45</v>
      </c>
      <c r="S19" s="18"/>
      <c r="T19" s="19"/>
      <c r="U19" s="20"/>
      <c r="V19" s="21" t="s">
        <v>62</v>
      </c>
    </row>
    <row r="20" ht="22.5" customHeight="1">
      <c r="A20" s="7" t="str">
        <f>IFERROR(__xludf.DUMMYFUNCTION("IFERROR(TO_TEXT(INDEX(Base!E:E, MATCH(B20, Base!A:A, 0))), ""mm.dd.yyyy"")
"),"01.30.2026")</f>
        <v>01.30.2026</v>
      </c>
      <c r="B20" s="8" t="s">
        <v>63</v>
      </c>
      <c r="C20" s="61" t="str">
        <f t="array" ref="C20">IFERROR(INDEX(Base!I:I,MATCH(B20,Base!A:A,0)),"Nome do Cliente")
</f>
        <v>Ligia Pereira Hubert</v>
      </c>
      <c r="D20" s="10" t="str">
        <f t="array" ref="D20">IFERROR(INDEX(Base!G:G,MATCH(B20,Base!A:A,0)),"Modelo da Cond.")</f>
        <v>AJ050AXJ2KH/AZ</v>
      </c>
      <c r="E20" s="10" t="str">
        <f t="array" ref="E20">IFERROR(INDEX(Base!H:H,MATCH(B20,Base!A:A,0)),"N° Serial")</f>
        <v>02TGPXBY200032F</v>
      </c>
      <c r="F20" s="10">
        <f t="shared" si="1"/>
        <v>79</v>
      </c>
      <c r="G20" s="11" t="s">
        <v>23</v>
      </c>
      <c r="H20" s="12" t="b">
        <v>1</v>
      </c>
      <c r="I20" s="13">
        <v>46079.0</v>
      </c>
      <c r="J20" s="14" t="s">
        <v>23</v>
      </c>
      <c r="K20" s="11" t="s">
        <v>23</v>
      </c>
      <c r="L20" s="15" t="b">
        <v>0</v>
      </c>
      <c r="M20" s="18"/>
      <c r="N20" s="12" t="b">
        <v>1</v>
      </c>
      <c r="O20" s="14" t="s">
        <v>24</v>
      </c>
      <c r="P20" s="14" t="s">
        <v>24</v>
      </c>
      <c r="Q20" s="14" t="s">
        <v>45</v>
      </c>
      <c r="R20" s="14" t="s">
        <v>45</v>
      </c>
      <c r="S20" s="18"/>
      <c r="T20" s="19"/>
      <c r="U20" s="20"/>
      <c r="V20" s="21" t="s">
        <v>64</v>
      </c>
    </row>
    <row r="21" ht="22.5" customHeight="1">
      <c r="A21" s="7" t="str">
        <f>IFERROR(__xludf.DUMMYFUNCTION("IFERROR(TO_TEXT(INDEX(Base!E:E, MATCH(B21, Base!A:A, 0))), ""mm.dd.yyyy"")
"),"01.30.2026")</f>
        <v>01.30.2026</v>
      </c>
      <c r="B21" s="8" t="s">
        <v>65</v>
      </c>
      <c r="C21" s="61" t="str">
        <f t="array" ref="C21">IFERROR(INDEX(Base!I:I,MATCH(B21,Base!A:A,0)),"Nome do Cliente")
</f>
        <v>Patrick De Moura Sousa</v>
      </c>
      <c r="D21" s="10" t="str">
        <f t="array" ref="D21">IFERROR(INDEX(Base!G:G,MATCH(B21,Base!A:A,0)),"Modelo da Cond.")</f>
        <v>AJ050AXJ2KH/AZ</v>
      </c>
      <c r="E21" s="10" t="str">
        <f t="array" ref="E21">IFERROR(INDEX(Base!H:H,MATCH(B21,Base!A:A,0)),"N° Serial")</f>
        <v>02TGPXBX100547H</v>
      </c>
      <c r="F21" s="10">
        <f t="shared" si="1"/>
        <v>79</v>
      </c>
      <c r="G21" s="11" t="s">
        <v>23</v>
      </c>
      <c r="H21" s="12" t="b">
        <v>1</v>
      </c>
      <c r="I21" s="13">
        <v>46076.0</v>
      </c>
      <c r="J21" s="14" t="s">
        <v>24</v>
      </c>
      <c r="K21" s="11" t="s">
        <v>23</v>
      </c>
      <c r="L21" s="15" t="b">
        <v>1</v>
      </c>
      <c r="M21" s="23">
        <v>46126.0</v>
      </c>
      <c r="N21" s="12" t="b">
        <v>0</v>
      </c>
      <c r="O21" s="14" t="s">
        <v>23</v>
      </c>
      <c r="P21" s="14"/>
      <c r="Q21" s="14" t="s">
        <v>44</v>
      </c>
      <c r="R21" s="14" t="s">
        <v>44</v>
      </c>
      <c r="S21" s="18"/>
      <c r="T21" s="19"/>
      <c r="U21" s="20"/>
      <c r="V21" s="21" t="s">
        <v>66</v>
      </c>
    </row>
    <row r="22" ht="22.5" customHeight="1">
      <c r="A22" s="7" t="str">
        <f>IFERROR(__xludf.DUMMYFUNCTION("IFERROR(TO_TEXT(INDEX(Base!E:E, MATCH(B22, Base!A:A, 0))), ""mm.dd.yyyy"")
"),"01.30.2026")</f>
        <v>01.30.2026</v>
      </c>
      <c r="B22" s="8" t="s">
        <v>67</v>
      </c>
      <c r="C22" s="61" t="str">
        <f t="array" ref="C22">IFERROR(INDEX(Base!I:I,MATCH(B22,Base!A:A,0)),"Nome do Cliente")
</f>
        <v>GIULIA MADEIROS GUIDONI</v>
      </c>
      <c r="D22" s="10" t="str">
        <f t="array" ref="D22">IFERROR(INDEX(Base!G:G,MATCH(B22,Base!A:A,0)),"Modelo da Cond.")</f>
        <v>AJ100DXJ5KH/AZ</v>
      </c>
      <c r="E22" s="10" t="str">
        <f t="array" ref="E22">IFERROR(INDEX(Base!H:H,MATCH(B22,Base!A:A,0)),"N° Serial")</f>
        <v>0344PXBY900196P</v>
      </c>
      <c r="F22" s="10">
        <f t="shared" si="1"/>
        <v>79</v>
      </c>
      <c r="G22" s="11" t="s">
        <v>29</v>
      </c>
      <c r="H22" s="12" t="b">
        <v>1</v>
      </c>
      <c r="I22" s="13">
        <v>46092.0</v>
      </c>
      <c r="J22" s="14" t="s">
        <v>24</v>
      </c>
      <c r="K22" s="11" t="s">
        <v>25</v>
      </c>
      <c r="L22" s="15" t="b">
        <v>0</v>
      </c>
      <c r="M22" s="18"/>
      <c r="N22" s="12" t="b">
        <v>0</v>
      </c>
      <c r="O22" s="14"/>
      <c r="P22" s="14"/>
      <c r="Q22" s="14"/>
      <c r="R22" s="14"/>
      <c r="S22" s="18"/>
      <c r="T22" s="19"/>
      <c r="U22" s="20"/>
      <c r="V22" s="21" t="s">
        <v>68</v>
      </c>
    </row>
    <row r="23" ht="22.5" customHeight="1">
      <c r="A23" s="7" t="str">
        <f>IFERROR(__xludf.DUMMYFUNCTION("IFERROR(TO_TEXT(INDEX(Base!E:E, MATCH(B23, Base!A:A, 0))), ""mm.dd.yyyy"")
"),"01.30.2026")</f>
        <v>01.30.2026</v>
      </c>
      <c r="B23" s="8" t="s">
        <v>69</v>
      </c>
      <c r="C23" s="24" t="str">
        <f t="array" ref="C23">IFERROR(INDEX(Base!I:I,MATCH(B23,Base!A:A,0)),"Nome do Cliente")
</f>
        <v>Luka Marques De Araujo</v>
      </c>
      <c r="D23" s="10" t="str">
        <f t="array" ref="D23">IFERROR(INDEX(Base!G:G,MATCH(B23,Base!A:A,0)),"Modelo da Cond.")</f>
        <v>AC018DXADKG/AZ</v>
      </c>
      <c r="E23" s="10" t="str">
        <f t="array" ref="E23">IFERROR(INDEX(Base!H:H,MATCH(B23,Base!A:A,0)),"N° Serial")</f>
        <v>030DPXBY200141N</v>
      </c>
      <c r="F23" s="10">
        <f t="shared" si="1"/>
        <v>79</v>
      </c>
      <c r="G23" s="11" t="s">
        <v>23</v>
      </c>
      <c r="H23" s="12" t="b">
        <v>0</v>
      </c>
      <c r="I23" s="13"/>
      <c r="J23" s="14"/>
      <c r="K23" s="60"/>
      <c r="L23" s="15" t="b">
        <v>0</v>
      </c>
      <c r="M23" s="18"/>
      <c r="N23" s="12" t="b">
        <v>0</v>
      </c>
      <c r="O23" s="14"/>
      <c r="P23" s="14"/>
      <c r="Q23" s="14"/>
      <c r="R23" s="14"/>
      <c r="S23" s="18"/>
      <c r="T23" s="19"/>
      <c r="U23" s="20"/>
      <c r="V23" s="21"/>
    </row>
    <row r="24" ht="22.5" customHeight="1">
      <c r="A24" s="7" t="str">
        <f>IFERROR(__xludf.DUMMYFUNCTION("IFERROR(TO_TEXT(INDEX(Base!E:E, MATCH(B24, Base!A:A, 0))), ""mm.dd.yyyy"")
"),"02.02.2026")</f>
        <v>02.02.2026</v>
      </c>
      <c r="B24" s="8" t="s">
        <v>70</v>
      </c>
      <c r="C24" s="61" t="str">
        <f t="array" ref="C24">IFERROR(INDEX(Base!I:I,MATCH(B24,Base!A:A,0)),"Nome do Cliente")
</f>
        <v>GABRIELA LUCIANO BORRI ARANDA</v>
      </c>
      <c r="D24" s="10" t="str">
        <f t="array" ref="D24">IFERROR(INDEX(Base!G:G,MATCH(B24,Base!A:A,0)),"Modelo da Cond.")</f>
        <v>AJ100AXJ5KH/AZ</v>
      </c>
      <c r="E24" s="10" t="str">
        <f t="array" ref="E24">IFERROR(INDEX(Base!H:H,MATCH(B24,Base!A:A,0)),"N° Serial")</f>
        <v>BLK6P3CX400095V</v>
      </c>
      <c r="F24" s="10">
        <f t="shared" si="1"/>
        <v>76</v>
      </c>
      <c r="G24" s="11" t="s">
        <v>23</v>
      </c>
      <c r="H24" s="12" t="b">
        <v>1</v>
      </c>
      <c r="I24" s="13">
        <v>46078.0</v>
      </c>
      <c r="J24" s="14" t="s">
        <v>24</v>
      </c>
      <c r="K24" s="11" t="s">
        <v>29</v>
      </c>
      <c r="L24" s="15" t="b">
        <v>0</v>
      </c>
      <c r="M24" s="18"/>
      <c r="N24" s="12" t="b">
        <v>0</v>
      </c>
      <c r="O24" s="14"/>
      <c r="P24" s="14"/>
      <c r="Q24" s="14"/>
      <c r="R24" s="14"/>
      <c r="S24" s="18"/>
      <c r="T24" s="19"/>
      <c r="U24" s="20"/>
      <c r="V24" s="21" t="s">
        <v>71</v>
      </c>
    </row>
    <row r="25" ht="22.5" customHeight="1">
      <c r="A25" s="7" t="str">
        <f>IFERROR(__xludf.DUMMYFUNCTION("IFERROR(TO_TEXT(INDEX(Base!E:E, MATCH(B25, Base!A:A, 0))), ""mm.dd.yyyy"")
"),"02.02.2026")</f>
        <v>02.02.2026</v>
      </c>
      <c r="B25" s="8" t="s">
        <v>72</v>
      </c>
      <c r="C25" s="61" t="str">
        <f t="array" ref="C25">IFERROR(INDEX(Base!I:I,MATCH(B25,Base!A:A,0)),"Nome do Cliente")
</f>
        <v>Jorge Luiz de Castro e Sil</v>
      </c>
      <c r="D25" s="10" t="str">
        <f t="array" ref="D25">IFERROR(INDEX(Base!G:G,MATCH(B25,Base!A:A,0)),"Modelo da Cond.")</f>
        <v>AJ068AXJ3KH/AZ</v>
      </c>
      <c r="E25" s="10" t="str">
        <f t="array" ref="E25">IFERROR(INDEX(Base!H:H,MATCH(B25,Base!A:A,0)),"N° Serial")</f>
        <v>02TKPXBX300204A</v>
      </c>
      <c r="F25" s="10">
        <f t="shared" si="1"/>
        <v>76</v>
      </c>
      <c r="G25" s="11" t="s">
        <v>29</v>
      </c>
      <c r="H25" s="12" t="b">
        <v>1</v>
      </c>
      <c r="I25" s="13">
        <v>46085.0</v>
      </c>
      <c r="J25" s="14" t="s">
        <v>23</v>
      </c>
      <c r="K25" s="11" t="s">
        <v>23</v>
      </c>
      <c r="L25" s="15" t="b">
        <v>0</v>
      </c>
      <c r="M25" s="18"/>
      <c r="N25" s="12" t="b">
        <v>1</v>
      </c>
      <c r="O25" s="14" t="s">
        <v>24</v>
      </c>
      <c r="P25" s="14" t="s">
        <v>23</v>
      </c>
      <c r="Q25" s="14" t="s">
        <v>45</v>
      </c>
      <c r="R25" s="14" t="s">
        <v>45</v>
      </c>
      <c r="S25" s="18"/>
      <c r="T25" s="19"/>
      <c r="U25" s="20"/>
      <c r="V25" s="21" t="s">
        <v>73</v>
      </c>
    </row>
    <row r="26" ht="22.5" customHeight="1">
      <c r="A26" s="7" t="str">
        <f>IFERROR(__xludf.DUMMYFUNCTION("IFERROR(TO_TEXT(INDEX(Base!E:E, MATCH(B26, Base!A:A, 0))), ""mm.dd.yyyy"")
"),"02.04.2026")</f>
        <v>02.04.2026</v>
      </c>
      <c r="B26" s="8" t="s">
        <v>74</v>
      </c>
      <c r="C26" s="77" t="str">
        <f t="array" ref="C26">IFERROR(INDEX(Base!I:I,MATCH(B26,Base!A:A,0)),"Nome do Cliente")
</f>
        <v>Marcelo Giovani Bernardino p</v>
      </c>
      <c r="D26" s="10" t="str">
        <f t="array" ref="D26">IFERROR(INDEX(Base!G:G,MATCH(B26,Base!A:A,0)),"Modelo da Cond.")</f>
        <v>AJ035ANAPKH2AZ</v>
      </c>
      <c r="E26" s="10" t="str">
        <f t="array" ref="E26">IFERROR(INDEX(Base!H:H,MATCH(B26,Base!A:A,0)),"N° Serial")</f>
        <v>0322PXCXC00229K</v>
      </c>
      <c r="F26" s="10">
        <f t="shared" si="1"/>
        <v>74</v>
      </c>
      <c r="G26" s="11" t="s">
        <v>23</v>
      </c>
      <c r="H26" s="12" t="b">
        <v>0</v>
      </c>
      <c r="I26" s="13"/>
      <c r="J26" s="14"/>
      <c r="K26" s="60"/>
      <c r="L26" s="15" t="b">
        <v>0</v>
      </c>
      <c r="M26" s="18"/>
      <c r="N26" s="12" t="b">
        <v>0</v>
      </c>
      <c r="O26" s="14"/>
      <c r="P26" s="14"/>
      <c r="Q26" s="14"/>
      <c r="R26" s="14"/>
      <c r="S26" s="18"/>
      <c r="T26" s="19"/>
      <c r="U26" s="20"/>
      <c r="V26" s="21"/>
    </row>
    <row r="27" ht="22.5" customHeight="1">
      <c r="A27" s="7" t="str">
        <f>IFERROR(__xludf.DUMMYFUNCTION("IFERROR(TO_TEXT(INDEX(Base!E:E, MATCH(B27, Base!A:A, 0))), ""mm.dd.yyyy"")
"),"02.04.2026")</f>
        <v>02.04.2026</v>
      </c>
      <c r="B27" s="8" t="s">
        <v>75</v>
      </c>
      <c r="C27" s="22" t="str">
        <f t="array" ref="C27">IFERROR(INDEX(Base!I:I,MATCH(B27,Base!A:A,0)),"Nome do Cliente")
</f>
        <v>Vinicius Milhan Hipolito</v>
      </c>
      <c r="D27" s="10" t="str">
        <f t="array" ref="D27">IFERROR(INDEX(Base!G:G,MATCH(B27,Base!A:A,0)),"Modelo da Cond.")</f>
        <v>AC024DN4DKG/AZ</v>
      </c>
      <c r="E27" s="10" t="str">
        <f t="array" ref="E27">IFERROR(INDEX(Base!H:H,MATCH(B27,Base!A:A,0)),"N° Serial")</f>
        <v>030FPXAXA00141N</v>
      </c>
      <c r="F27" s="10">
        <f t="shared" si="1"/>
        <v>74</v>
      </c>
      <c r="G27" s="11" t="s">
        <v>23</v>
      </c>
      <c r="H27" s="12" t="b">
        <v>1</v>
      </c>
      <c r="I27" s="13">
        <v>46078.0</v>
      </c>
      <c r="J27" s="14" t="s">
        <v>24</v>
      </c>
      <c r="K27" s="11" t="s">
        <v>29</v>
      </c>
      <c r="L27" s="15" t="b">
        <v>1</v>
      </c>
      <c r="M27" s="23">
        <v>46127.0</v>
      </c>
      <c r="N27" s="12" t="b">
        <v>1</v>
      </c>
      <c r="O27" s="14" t="s">
        <v>23</v>
      </c>
      <c r="P27" s="14"/>
      <c r="Q27" s="14" t="s">
        <v>44</v>
      </c>
      <c r="R27" s="14" t="s">
        <v>44</v>
      </c>
      <c r="S27" s="18"/>
      <c r="T27" s="19"/>
      <c r="U27" s="20"/>
      <c r="V27" s="21" t="s">
        <v>71</v>
      </c>
    </row>
    <row r="28" ht="22.5" customHeight="1">
      <c r="A28" s="7" t="str">
        <f>IFERROR(__xludf.DUMMYFUNCTION("IFERROR(TO_TEXT(INDEX(Base!E:E, MATCH(B28, Base!A:A, 0))), ""mm.dd.yyyy"")
"),"02.04.2026")</f>
        <v>02.04.2026</v>
      </c>
      <c r="B28" s="8" t="s">
        <v>76</v>
      </c>
      <c r="C28" s="61" t="str">
        <f t="array" ref="C28">IFERROR(INDEX(Base!I:I,MATCH(B28,Base!A:A,0)),"Nome do Cliente")
</f>
        <v>Guilerme de Souza Aranha Moreira</v>
      </c>
      <c r="D28" s="10" t="str">
        <f t="array" ref="D28">IFERROR(INDEX(Base!G:G,MATCH(B28,Base!A:A,0)),"Modelo da Cond.")</f>
        <v>AM100KXMDFH/TC</v>
      </c>
      <c r="E28" s="10" t="str">
        <f t="array" ref="E28">IFERROR(INDEX(Base!H:H,MATCH(B28,Base!A:A,0)),"N° Serial")</f>
        <v>0FHMPAOX700006V</v>
      </c>
      <c r="F28" s="10">
        <f t="shared" si="1"/>
        <v>74</v>
      </c>
      <c r="G28" s="11" t="s">
        <v>29</v>
      </c>
      <c r="H28" s="12" t="b">
        <v>1</v>
      </c>
      <c r="I28" s="13">
        <v>46064.0</v>
      </c>
      <c r="J28" s="14" t="s">
        <v>23</v>
      </c>
      <c r="K28" s="11" t="s">
        <v>23</v>
      </c>
      <c r="L28" s="15" t="b">
        <v>0</v>
      </c>
      <c r="M28" s="18"/>
      <c r="N28" s="12" t="b">
        <v>0</v>
      </c>
      <c r="O28" s="14" t="s">
        <v>24</v>
      </c>
      <c r="P28" s="14"/>
      <c r="Q28" s="14" t="s">
        <v>32</v>
      </c>
      <c r="R28" s="14" t="s">
        <v>32</v>
      </c>
      <c r="S28" s="18"/>
      <c r="T28" s="19"/>
      <c r="U28" s="20"/>
      <c r="V28" s="21" t="s">
        <v>77</v>
      </c>
    </row>
    <row r="29" ht="22.5" customHeight="1">
      <c r="A29" s="78" t="str">
        <f>IFERROR(__xludf.DUMMYFUNCTION("IFERROR(TO_TEXT(INDEX(Base!E:E, MATCH(B29, Base!A:A, 0))), ""mm.dd.yyyy"")
"),"02.05.2026")</f>
        <v>02.05.2026</v>
      </c>
      <c r="B29" s="8" t="s">
        <v>78</v>
      </c>
      <c r="C29" s="26" t="str">
        <f t="array" ref="C29">IFERROR(INDEX(Base!I:I,MATCH(B29,Base!A:A,0)),"Nome do Cliente")
</f>
        <v>FERNANDO A VASCONCELLOS</v>
      </c>
      <c r="D29" s="79" t="str">
        <f t="array" ref="D29">IFERROR(INDEX(Base!G:G,MATCH(B29,Base!A:A,0)),"Modelo da Cond.")</f>
        <v>AJ050AXJ2KH/AZ</v>
      </c>
      <c r="E29" s="79" t="str">
        <f t="array" ref="E29">IFERROR(INDEX(Base!H:H,MATCH(B29,Base!A:A,0)),"N° Serial")</f>
        <v>02TGPXBRA00159M</v>
      </c>
      <c r="F29" s="79">
        <f t="shared" si="1"/>
        <v>73</v>
      </c>
      <c r="G29" s="11" t="s">
        <v>23</v>
      </c>
      <c r="H29" s="80" t="b">
        <v>1</v>
      </c>
      <c r="I29" s="81">
        <v>46086.0</v>
      </c>
      <c r="J29" s="82" t="s">
        <v>23</v>
      </c>
      <c r="K29" s="11" t="s">
        <v>23</v>
      </c>
      <c r="L29" s="83" t="b">
        <v>0</v>
      </c>
      <c r="M29" s="84"/>
      <c r="N29" s="80" t="b">
        <v>1</v>
      </c>
      <c r="O29" s="82" t="s">
        <v>24</v>
      </c>
      <c r="P29" s="82" t="s">
        <v>24</v>
      </c>
      <c r="Q29" s="82" t="s">
        <v>45</v>
      </c>
      <c r="R29" s="82" t="s">
        <v>45</v>
      </c>
      <c r="S29" s="84"/>
      <c r="T29" s="85"/>
      <c r="U29" s="20"/>
      <c r="V29" s="86" t="s">
        <v>79</v>
      </c>
    </row>
    <row r="30" ht="22.5" customHeight="1">
      <c r="A30" s="7" t="str">
        <f>IFERROR(__xludf.DUMMYFUNCTION("IFERROR(TO_TEXT(INDEX(Base!E:E, MATCH(B30, Base!A:A, 0))), ""mm.dd.yyyy"")
"),"02.09.2026")</f>
        <v>02.09.2026</v>
      </c>
      <c r="B30" s="8" t="s">
        <v>80</v>
      </c>
      <c r="C30" s="61" t="str">
        <f t="array" ref="C30">IFERROR(INDEX(Base!I:I,MATCH(B30,Base!A:A,0)),"Nome do Cliente")
</f>
        <v>JOEL ADRIANO DOS SANTOS</v>
      </c>
      <c r="D30" s="10" t="str">
        <f t="array" ref="D30">IFERROR(INDEX(Base!G:G,MATCH(B30,Base!A:A,0)),"Modelo da Cond.")</f>
        <v>AJ052TN1DKH/EA</v>
      </c>
      <c r="E30" s="10" t="str">
        <f t="array" ref="E30">IFERROR(INDEX(Base!H:H,MATCH(B30,Base!A:A,0)),"N° Serial")</f>
        <v>BLGDP3HX600112H</v>
      </c>
      <c r="F30" s="10">
        <f t="shared" si="1"/>
        <v>69</v>
      </c>
      <c r="G30" s="11" t="s">
        <v>29</v>
      </c>
      <c r="H30" s="12" t="b">
        <v>1</v>
      </c>
      <c r="I30" s="13">
        <v>46126.0</v>
      </c>
      <c r="J30" s="14" t="s">
        <v>23</v>
      </c>
      <c r="K30" s="11" t="s">
        <v>23</v>
      </c>
      <c r="L30" s="15" t="b">
        <v>0</v>
      </c>
      <c r="M30" s="18"/>
      <c r="N30" s="12" t="b">
        <v>1</v>
      </c>
      <c r="O30" s="14" t="s">
        <v>24</v>
      </c>
      <c r="P30" s="14" t="s">
        <v>24</v>
      </c>
      <c r="Q30" s="14" t="s">
        <v>81</v>
      </c>
      <c r="R30" s="14" t="s">
        <v>32</v>
      </c>
      <c r="S30" s="18"/>
      <c r="T30" s="19"/>
      <c r="U30" s="20"/>
      <c r="V30" s="21"/>
    </row>
    <row r="31" ht="22.5" customHeight="1">
      <c r="A31" s="7" t="str">
        <f>IFERROR(__xludf.DUMMYFUNCTION("IFERROR(TO_TEXT(INDEX(Base!E:E, MATCH(B31, Base!A:A, 0))), ""mm.dd.yyyy"")
"),"02.10.2026")</f>
        <v>02.10.2026</v>
      </c>
      <c r="B31" s="8" t="s">
        <v>82</v>
      </c>
      <c r="C31" s="25" t="str">
        <f t="array" ref="C31">IFERROR(INDEX(Base!I:I,MATCH(B31,Base!A:A,0)),"Nome do Cliente")
</f>
        <v>Vicente Balzano Neto</v>
      </c>
      <c r="D31" s="10" t="str">
        <f t="array" ref="D31">IFERROR(INDEX(Base!G:G,MATCH(B31,Base!A:A,0)),"Modelo da Cond.")</f>
        <v>AM220CXVAFH/AZ</v>
      </c>
      <c r="E31" s="10" t="str">
        <f t="array" ref="E31">IFERROR(INDEX(Base!H:H,MATCH(B31,Base!A:A,0)),"N° Serial")</f>
        <v>0YP0PAOX900008Z</v>
      </c>
      <c r="F31" s="10">
        <f t="shared" si="1"/>
        <v>68</v>
      </c>
      <c r="G31" s="11" t="s">
        <v>23</v>
      </c>
      <c r="H31" s="12" t="b">
        <v>1</v>
      </c>
      <c r="I31" s="13">
        <v>46072.0</v>
      </c>
      <c r="J31" s="14" t="s">
        <v>23</v>
      </c>
      <c r="K31" s="11" t="s">
        <v>23</v>
      </c>
      <c r="L31" s="15" t="b">
        <v>0</v>
      </c>
      <c r="M31" s="18"/>
      <c r="N31" s="12" t="b">
        <v>1</v>
      </c>
      <c r="O31" s="14" t="s">
        <v>24</v>
      </c>
      <c r="P31" s="14"/>
      <c r="Q31" s="14" t="s">
        <v>32</v>
      </c>
      <c r="R31" s="14" t="s">
        <v>32</v>
      </c>
      <c r="S31" s="18"/>
      <c r="T31" s="19"/>
      <c r="U31" s="20" t="s">
        <v>83</v>
      </c>
      <c r="V31" s="21" t="s">
        <v>84</v>
      </c>
    </row>
    <row r="32" ht="22.5" customHeight="1">
      <c r="A32" s="7" t="str">
        <f>IFERROR(__xludf.DUMMYFUNCTION("IFERROR(TO_TEXT(INDEX(Base!E:E, MATCH(B32, Base!A:A, 0))), ""mm.dd.yyyy"")
"),"02.11.2026")</f>
        <v>02.11.2026</v>
      </c>
      <c r="B32" s="8" t="s">
        <v>85</v>
      </c>
      <c r="C32" s="61" t="str">
        <f t="array" ref="C32">IFERROR(INDEX(Base!I:I,MATCH(B32,Base!A:A,0)),"Nome do Cliente")
</f>
        <v>ORPEC ENGENHARIA IND E COM LTDA</v>
      </c>
      <c r="D32" s="10" t="str">
        <f t="array" ref="D32">IFERROR(INDEX(Base!G:G,MATCH(B32,Base!A:A,0)),"Modelo da Cond.")</f>
        <v>AJ080AXJ4KH/AZ</v>
      </c>
      <c r="E32" s="10" t="str">
        <f t="array" ref="E32">IFERROR(INDEX(Base!H:H,MATCH(B32,Base!A:A,0)),"N° Serial")</f>
        <v>02TMPXBXC00056P</v>
      </c>
      <c r="F32" s="10">
        <f t="shared" si="1"/>
        <v>67</v>
      </c>
      <c r="G32" s="11" t="s">
        <v>23</v>
      </c>
      <c r="H32" s="12" t="b">
        <v>1</v>
      </c>
      <c r="I32" s="13">
        <v>46087.0</v>
      </c>
      <c r="J32" s="14" t="s">
        <v>24</v>
      </c>
      <c r="K32" s="11" t="s">
        <v>35</v>
      </c>
      <c r="L32" s="15" t="b">
        <v>1</v>
      </c>
      <c r="M32" s="23">
        <v>46108.0</v>
      </c>
      <c r="N32" s="12" t="b">
        <v>0</v>
      </c>
      <c r="O32" s="14"/>
      <c r="P32" s="14"/>
      <c r="Q32" s="14"/>
      <c r="R32" s="14"/>
      <c r="S32" s="18"/>
      <c r="T32" s="19"/>
      <c r="U32" s="20"/>
      <c r="V32" s="21" t="s">
        <v>86</v>
      </c>
    </row>
    <row r="33" ht="22.5" customHeight="1">
      <c r="A33" s="7" t="str">
        <f>IFERROR(__xludf.DUMMYFUNCTION("IFERROR(TO_TEXT(INDEX(Base!E:E, MATCH(B33, Base!A:A, 0))), ""mm.dd.yyyy"")
"),"02.12.2026")</f>
        <v>02.12.2026</v>
      </c>
      <c r="B33" s="8" t="s">
        <v>87</v>
      </c>
      <c r="C33" s="61" t="str">
        <f t="array" ref="C33">IFERROR(INDEX(Base!I:I,MATCH(B33,Base!A:A,0)),"Nome do Cliente")
</f>
        <v>Jorge Pereira</v>
      </c>
      <c r="D33" s="10" t="str">
        <f t="array" ref="D33">IFERROR(INDEX(Base!G:G,MATCH(B33,Base!A:A,0)),"Modelo da Cond.")</f>
        <v>AJ050ANAPKH2AZ</v>
      </c>
      <c r="E33" s="10" t="str">
        <f t="array" ref="E33">IFERROR(INDEX(Base!H:H,MATCH(B33,Base!A:A,0)),"N° Serial")</f>
        <v>0323PXCX500031P</v>
      </c>
      <c r="F33" s="10">
        <f t="shared" si="1"/>
        <v>66</v>
      </c>
      <c r="G33" s="11" t="s">
        <v>29</v>
      </c>
      <c r="H33" s="12" t="b">
        <v>1</v>
      </c>
      <c r="I33" s="13">
        <v>46125.0</v>
      </c>
      <c r="J33" s="14" t="s">
        <v>23</v>
      </c>
      <c r="K33" s="11" t="s">
        <v>23</v>
      </c>
      <c r="L33" s="15" t="b">
        <v>0</v>
      </c>
      <c r="M33" s="18"/>
      <c r="N33" s="12" t="b">
        <v>1</v>
      </c>
      <c r="O33" s="14" t="s">
        <v>24</v>
      </c>
      <c r="P33" s="14" t="s">
        <v>24</v>
      </c>
      <c r="Q33" s="14" t="s">
        <v>81</v>
      </c>
      <c r="R33" s="14" t="s">
        <v>44</v>
      </c>
      <c r="S33" s="18"/>
      <c r="T33" s="19"/>
      <c r="U33" s="20"/>
      <c r="V33" s="21"/>
    </row>
    <row r="34" ht="22.5" customHeight="1">
      <c r="A34" s="7" t="str">
        <f>IFERROR(__xludf.DUMMYFUNCTION("IFERROR(TO_TEXT(INDEX(Base!E:E, MATCH(B34, Base!A:A, 0))), ""mm.dd.yyyy"")
"),"02.12.2026")</f>
        <v>02.12.2026</v>
      </c>
      <c r="B34" s="8" t="s">
        <v>88</v>
      </c>
      <c r="C34" s="61" t="str">
        <f t="array" ref="C34">IFERROR(INDEX(Base!I:I,MATCH(B34,Base!A:A,0)),"Nome do Cliente")
</f>
        <v>ALEXANDRE HENRIQUE JUNG</v>
      </c>
      <c r="D34" s="10" t="str">
        <f t="array" ref="D34">IFERROR(INDEX(Base!G:G,MATCH(B34,Base!A:A,0)),"Modelo da Cond.")</f>
        <v>AC018DN1DKG/AZ</v>
      </c>
      <c r="E34" s="10" t="str">
        <f t="array" ref="E34">IFERROR(INDEX(Base!H:H,MATCH(B34,Base!A:A,0)),"N° Serial")</f>
        <v>0309PXAXA00381Y</v>
      </c>
      <c r="F34" s="10">
        <f t="shared" si="1"/>
        <v>66</v>
      </c>
      <c r="G34" s="11" t="s">
        <v>29</v>
      </c>
      <c r="H34" s="12" t="b">
        <v>1</v>
      </c>
      <c r="I34" s="13">
        <v>46085.0</v>
      </c>
      <c r="J34" s="14" t="s">
        <v>23</v>
      </c>
      <c r="K34" s="11" t="s">
        <v>23</v>
      </c>
      <c r="L34" s="15" t="b">
        <v>0</v>
      </c>
      <c r="M34" s="18"/>
      <c r="N34" s="12" t="b">
        <v>1</v>
      </c>
      <c r="O34" s="14" t="s">
        <v>24</v>
      </c>
      <c r="P34" s="14"/>
      <c r="Q34" s="14" t="s">
        <v>45</v>
      </c>
      <c r="R34" s="14" t="s">
        <v>45</v>
      </c>
      <c r="S34" s="18"/>
      <c r="T34" s="19"/>
      <c r="U34" s="20"/>
      <c r="V34" s="21" t="s">
        <v>89</v>
      </c>
    </row>
    <row r="35" ht="22.5" customHeight="1">
      <c r="A35" s="7" t="str">
        <f>IFERROR(__xludf.DUMMYFUNCTION("IFERROR(TO_TEXT(INDEX(Base!E:E, MATCH(B35, Base!A:A, 0))), ""mm.dd.yyyy"")
"),"02.12.2026")</f>
        <v>02.12.2026</v>
      </c>
      <c r="B35" s="8" t="s">
        <v>90</v>
      </c>
      <c r="C35" s="77" t="str">
        <f t="array" ref="C35">IFERROR(INDEX(Base!I:I,MATCH(B35,Base!A:A,0)),"Nome do Cliente")
</f>
        <v>BRUNO LEONARDO FERREIRA</v>
      </c>
      <c r="D35" s="10" t="str">
        <f t="array" ref="D35">IFERROR(INDEX(Base!G:G,MATCH(B35,Base!A:A,0)),"Modelo da Cond.")</f>
        <v>AJ050AXJ2KH/AZ</v>
      </c>
      <c r="E35" s="10" t="str">
        <f t="array" ref="E35">IFERROR(INDEX(Base!H:H,MATCH(B35,Base!A:A,0)),"N° Serial")</f>
        <v>02TGPXBX600298Y</v>
      </c>
      <c r="F35" s="10">
        <f t="shared" si="1"/>
        <v>66</v>
      </c>
      <c r="G35" s="11" t="s">
        <v>23</v>
      </c>
      <c r="H35" s="12" t="b">
        <v>0</v>
      </c>
      <c r="I35" s="13"/>
      <c r="J35" s="14"/>
      <c r="K35" s="60"/>
      <c r="L35" s="15" t="b">
        <v>0</v>
      </c>
      <c r="M35" s="18"/>
      <c r="N35" s="12" t="b">
        <v>0</v>
      </c>
      <c r="O35" s="14"/>
      <c r="P35" s="14"/>
      <c r="Q35" s="14"/>
      <c r="R35" s="14"/>
      <c r="S35" s="18"/>
      <c r="T35" s="19"/>
      <c r="U35" s="20"/>
      <c r="V35" s="21"/>
    </row>
    <row r="36" ht="22.5" customHeight="1">
      <c r="A36" s="7" t="str">
        <f>IFERROR(__xludf.DUMMYFUNCTION("IFERROR(TO_TEXT(INDEX(Base!E:E, MATCH(B36, Base!A:A, 0))), ""mm.dd.yyyy"")
"),"02.13.2026")</f>
        <v>02.13.2026</v>
      </c>
      <c r="B36" s="87" t="s">
        <v>91</v>
      </c>
      <c r="C36" s="9" t="str">
        <f t="array" ref="C36">IFERROR(INDEX(Base!I:I,MATCH(B36,Base!A:A,0)),"Nome do Cliente")
</f>
        <v>AAC AR CONDICIONADO LTDA</v>
      </c>
      <c r="D36" s="10" t="str">
        <f t="array" ref="D36">IFERROR(INDEX(Base!G:G,MATCH(B36,Base!A:A,0)),"Modelo da Cond.")</f>
        <v>AJ025ANAPKH2AZ</v>
      </c>
      <c r="E36" s="10" t="str">
        <f t="array" ref="E36">IFERROR(INDEX(Base!H:H,MATCH(B36,Base!A:A,0)),"N° Serial")</f>
        <v>0321PXCXA00875D</v>
      </c>
      <c r="F36" s="10">
        <f t="shared" si="1"/>
        <v>65</v>
      </c>
      <c r="G36" s="11" t="s">
        <v>29</v>
      </c>
      <c r="H36" s="12" t="b">
        <v>1</v>
      </c>
      <c r="I36" s="13">
        <v>46127.0</v>
      </c>
      <c r="J36" s="14" t="s">
        <v>23</v>
      </c>
      <c r="K36" s="11" t="s">
        <v>23</v>
      </c>
      <c r="L36" s="15" t="b">
        <v>0</v>
      </c>
      <c r="M36" s="18"/>
      <c r="N36" s="12" t="b">
        <v>1</v>
      </c>
      <c r="O36" s="14" t="s">
        <v>24</v>
      </c>
      <c r="P36" s="14" t="s">
        <v>23</v>
      </c>
      <c r="Q36" s="14" t="s">
        <v>81</v>
      </c>
      <c r="R36" s="14" t="s">
        <v>32</v>
      </c>
      <c r="S36" s="18"/>
      <c r="T36" s="19"/>
      <c r="U36" s="20"/>
      <c r="V36" s="21"/>
    </row>
    <row r="37" ht="22.5" customHeight="1">
      <c r="A37" s="7" t="str">
        <f>IFERROR(__xludf.DUMMYFUNCTION("IFERROR(TO_TEXT(INDEX(Base!E:E, MATCH(B37, Base!A:A, 0))), ""mm.dd.yyyy"")
"),"02.19.2026")</f>
        <v>02.19.2026</v>
      </c>
      <c r="B37" s="8" t="s">
        <v>92</v>
      </c>
      <c r="C37" s="61" t="str">
        <f t="array" ref="C37">IFERROR(INDEX(Base!I:I,MATCH(B37,Base!A:A,0)),"Nome do Cliente")
</f>
        <v>NFT Treinamento e Saúde</v>
      </c>
      <c r="D37" s="10" t="str">
        <f t="array" ref="D37">IFERROR(INDEX(Base!G:G,MATCH(B37,Base!A:A,0)),"Modelo da Cond.")</f>
        <v>AM036TNVDKH/EU</v>
      </c>
      <c r="E37" s="10" t="str">
        <f t="array" ref="E37">IFERROR(INDEX(Base!H:H,MATCH(B37,Base!A:A,0)),"N° Serial")</f>
        <v>0HG7PDCX800313A</v>
      </c>
      <c r="F37" s="10">
        <f t="shared" si="1"/>
        <v>59</v>
      </c>
      <c r="G37" s="11" t="s">
        <v>23</v>
      </c>
      <c r="H37" s="12" t="b">
        <v>1</v>
      </c>
      <c r="I37" s="13">
        <v>46083.0</v>
      </c>
      <c r="J37" s="14" t="s">
        <v>23</v>
      </c>
      <c r="K37" s="11" t="s">
        <v>23</v>
      </c>
      <c r="L37" s="15" t="b">
        <v>0</v>
      </c>
      <c r="M37" s="18"/>
      <c r="N37" s="12" t="b">
        <v>1</v>
      </c>
      <c r="O37" s="14" t="s">
        <v>24</v>
      </c>
      <c r="P37" s="14"/>
      <c r="Q37" s="14" t="s">
        <v>32</v>
      </c>
      <c r="R37" s="14" t="s">
        <v>32</v>
      </c>
      <c r="S37" s="18"/>
      <c r="T37" s="19"/>
      <c r="U37" s="20"/>
      <c r="V37" s="21" t="s">
        <v>93</v>
      </c>
    </row>
    <row r="38" ht="22.5" customHeight="1">
      <c r="A38" s="7" t="str">
        <f>IFERROR(__xludf.DUMMYFUNCTION("IFERROR(TO_TEXT(INDEX(Base!E:E, MATCH(B38, Base!A:A, 0))), ""mm.dd.yyyy"")
"),"02.19.2026")</f>
        <v>02.19.2026</v>
      </c>
      <c r="B38" s="8" t="s">
        <v>94</v>
      </c>
      <c r="C38" s="25" t="str">
        <f t="array" ref="C38">IFERROR(INDEX(Base!I:I,MATCH(B38,Base!A:A,0)),"Nome do Cliente")
</f>
        <v>Fabricio Passadore de Oliveir</v>
      </c>
      <c r="D38" s="10" t="str">
        <f t="array" ref="D38">IFERROR(INDEX(Base!G:G,MATCH(B38,Base!A:A,0)),"Modelo da Cond.")</f>
        <v>AJ068AXJ3KH/AZ</v>
      </c>
      <c r="E38" s="10" t="str">
        <f t="array" ref="E38">IFERROR(INDEX(Base!H:H,MATCH(B38,Base!A:A,0)),"N° Serial")</f>
        <v>02TKPXBX800038K</v>
      </c>
      <c r="F38" s="10">
        <f t="shared" si="1"/>
        <v>59</v>
      </c>
      <c r="G38" s="11" t="s">
        <v>23</v>
      </c>
      <c r="H38" s="12" t="b">
        <v>1</v>
      </c>
      <c r="I38" s="13">
        <v>46097.0</v>
      </c>
      <c r="J38" s="14" t="s">
        <v>24</v>
      </c>
      <c r="K38" s="11" t="s">
        <v>35</v>
      </c>
      <c r="L38" s="15" t="b">
        <v>0</v>
      </c>
      <c r="M38" s="18"/>
      <c r="N38" s="12" t="b">
        <v>0</v>
      </c>
      <c r="O38" s="14"/>
      <c r="P38" s="14"/>
      <c r="Q38" s="14"/>
      <c r="R38" s="14"/>
      <c r="S38" s="18"/>
      <c r="T38" s="19"/>
      <c r="U38" s="20"/>
      <c r="V38" s="21" t="s">
        <v>95</v>
      </c>
    </row>
    <row r="39" ht="22.5" customHeight="1">
      <c r="A39" s="7" t="str">
        <f>IFERROR(__xludf.DUMMYFUNCTION("IFERROR(TO_TEXT(INDEX(Base!E:E, MATCH(B39, Base!A:A, 0))), ""mm.dd.yyyy"")
"),"02.20.2026")</f>
        <v>02.20.2026</v>
      </c>
      <c r="B39" s="8" t="s">
        <v>96</v>
      </c>
      <c r="C39" s="61" t="str">
        <f t="array" ref="C39">IFERROR(INDEX(Base!I:I,MATCH(B39,Base!A:A,0)),"Nome do Cliente")
</f>
        <v>Wagner Oliveira</v>
      </c>
      <c r="D39" s="10" t="str">
        <f t="array" ref="D39">IFERROR(INDEX(Base!G:G,MATCH(B39,Base!A:A,0)),"Modelo da Cond.")</f>
        <v>AC048DXADKG/AZ</v>
      </c>
      <c r="E39" s="10" t="str">
        <f t="array" ref="E39">IFERROR(INDEX(Base!H:H,MATCH(B39,Base!A:A,0)),"N° Serial")</f>
        <v>030YPXBY600011J</v>
      </c>
      <c r="F39" s="10">
        <f t="shared" si="1"/>
        <v>58</v>
      </c>
      <c r="G39" s="11" t="s">
        <v>23</v>
      </c>
      <c r="H39" s="12" t="b">
        <v>1</v>
      </c>
      <c r="I39" s="13">
        <v>46101.0</v>
      </c>
      <c r="J39" s="14" t="s">
        <v>24</v>
      </c>
      <c r="K39" s="11" t="s">
        <v>25</v>
      </c>
      <c r="L39" s="15" t="b">
        <v>0</v>
      </c>
      <c r="M39" s="18"/>
      <c r="N39" s="12" t="b">
        <v>0</v>
      </c>
      <c r="O39" s="14"/>
      <c r="P39" s="14"/>
      <c r="Q39" s="14"/>
      <c r="R39" s="14"/>
      <c r="S39" s="18"/>
      <c r="T39" s="19"/>
      <c r="U39" s="20"/>
      <c r="V39" s="21"/>
    </row>
    <row r="40" ht="22.5" customHeight="1">
      <c r="A40" s="7" t="str">
        <f>IFERROR(__xludf.DUMMYFUNCTION("IFERROR(TO_TEXT(INDEX(Base!E:E, MATCH(B40, Base!A:A, 0))), ""mm.dd.yyyy"")
"),"02.20.2026")</f>
        <v>02.20.2026</v>
      </c>
      <c r="B40" s="8" t="s">
        <v>97</v>
      </c>
      <c r="C40" s="24" t="str">
        <f t="array" ref="C40">IFERROR(INDEX(Base!I:I,MATCH(B40,Base!A:A,0)),"Nome do Cliente")
</f>
        <v>Thales Cardoso</v>
      </c>
      <c r="D40" s="10" t="str">
        <f t="array" ref="D40">IFERROR(INDEX(Base!G:G,MATCH(B40,Base!A:A,0)),"Modelo da Cond.")</f>
        <v>AJ052DN1DKH2AZ</v>
      </c>
      <c r="E40" s="10" t="str">
        <f t="array" ref="E40">IFERROR(INDEX(Base!H:H,MATCH(B40,Base!A:A,0)),"N° Serial")</f>
        <v>M000</v>
      </c>
      <c r="F40" s="10">
        <f t="shared" si="1"/>
        <v>58</v>
      </c>
      <c r="G40" s="11" t="s">
        <v>29</v>
      </c>
      <c r="H40" s="12" t="b">
        <v>0</v>
      </c>
      <c r="I40" s="13"/>
      <c r="J40" s="14"/>
      <c r="K40" s="60"/>
      <c r="L40" s="15" t="b">
        <v>0</v>
      </c>
      <c r="M40" s="18"/>
      <c r="N40" s="12" t="b">
        <v>0</v>
      </c>
      <c r="O40" s="14"/>
      <c r="P40" s="14"/>
      <c r="Q40" s="14"/>
      <c r="R40" s="14"/>
      <c r="S40" s="18"/>
      <c r="T40" s="19"/>
      <c r="U40" s="20"/>
      <c r="V40" s="21"/>
    </row>
    <row r="41" ht="22.5" customHeight="1">
      <c r="A41" s="7" t="str">
        <f>IFERROR(__xludf.DUMMYFUNCTION("IFERROR(TO_TEXT(INDEX(Base!E:E, MATCH(B41, Base!A:A, 0))), ""mm.dd.yyyy"")
"),"02.23.2026")</f>
        <v>02.23.2026</v>
      </c>
      <c r="B41" s="8" t="s">
        <v>98</v>
      </c>
      <c r="C41" s="61" t="str">
        <f t="array" ref="C41">IFERROR(INDEX(Base!I:I,MATCH(B41,Base!A:A,0)),"Nome do Cliente")
</f>
        <v>MORAES ELETRONICOS E INFORM</v>
      </c>
      <c r="D41" s="10" t="str">
        <f t="array" ref="D41">IFERROR(INDEX(Base!G:G,MATCH(B41,Base!A:A,0)),"Modelo da Cond.")</f>
        <v>AM060TXMDKH/AZ</v>
      </c>
      <c r="E41" s="10" t="str">
        <f t="array" ref="E41">IFERROR(INDEX(Base!H:H,MATCH(B41,Base!A:A,0)),"N° Serial")</f>
        <v>0V5TPAFX800053T</v>
      </c>
      <c r="F41" s="10">
        <f t="shared" si="1"/>
        <v>55</v>
      </c>
      <c r="G41" s="11" t="s">
        <v>23</v>
      </c>
      <c r="H41" s="12" t="b">
        <v>1</v>
      </c>
      <c r="I41" s="13">
        <v>46078.0</v>
      </c>
      <c r="J41" s="14" t="s">
        <v>23</v>
      </c>
      <c r="K41" s="11" t="s">
        <v>23</v>
      </c>
      <c r="L41" s="15" t="b">
        <v>0</v>
      </c>
      <c r="M41" s="18"/>
      <c r="N41" s="12" t="b">
        <v>1</v>
      </c>
      <c r="O41" s="14" t="s">
        <v>24</v>
      </c>
      <c r="P41" s="14" t="s">
        <v>24</v>
      </c>
      <c r="Q41" s="14" t="s">
        <v>32</v>
      </c>
      <c r="R41" s="14" t="s">
        <v>32</v>
      </c>
      <c r="S41" s="18"/>
      <c r="T41" s="19"/>
      <c r="U41" s="20"/>
      <c r="V41" s="21" t="s">
        <v>99</v>
      </c>
    </row>
    <row r="42" ht="22.5" customHeight="1">
      <c r="A42" s="7" t="str">
        <f>IFERROR(__xludf.DUMMYFUNCTION("IFERROR(TO_TEXT(INDEX(Base!E:E, MATCH(B42, Base!A:A, 0))), ""mm.dd.yyyy"")
"),"02.23.2026")</f>
        <v>02.23.2026</v>
      </c>
      <c r="B42" s="8" t="s">
        <v>100</v>
      </c>
      <c r="C42" s="61" t="str">
        <f t="array" ref="C42">IFERROR(INDEX(Base!I:I,MATCH(B42,Base!A:A,0)),"Nome do Cliente")
</f>
        <v>Arnaldo Santos Trentin Morai</v>
      </c>
      <c r="D42" s="10" t="str">
        <f t="array" ref="D42">IFERROR(INDEX(Base!G:G,MATCH(B42,Base!A:A,0)),"Modelo da Cond.")</f>
        <v>AM024NN1DCH/AZ</v>
      </c>
      <c r="E42" s="10" t="str">
        <f t="array" ref="E42">IFERROR(INDEX(Base!H:H,MATCH(B42,Base!A:A,0)),"N° Serial")</f>
        <v>B9MRP3HTB00154P</v>
      </c>
      <c r="F42" s="10">
        <f t="shared" si="1"/>
        <v>55</v>
      </c>
      <c r="G42" s="11" t="s">
        <v>35</v>
      </c>
      <c r="H42" s="12" t="b">
        <v>1</v>
      </c>
      <c r="I42" s="13">
        <v>46079.0</v>
      </c>
      <c r="J42" s="14" t="s">
        <v>23</v>
      </c>
      <c r="K42" s="11" t="s">
        <v>23</v>
      </c>
      <c r="L42" s="15" t="b">
        <v>0</v>
      </c>
      <c r="M42" s="18"/>
      <c r="N42" s="12" t="b">
        <v>1</v>
      </c>
      <c r="O42" s="14" t="s">
        <v>24</v>
      </c>
      <c r="P42" s="14"/>
      <c r="Q42" s="14" t="s">
        <v>32</v>
      </c>
      <c r="R42" s="14" t="s">
        <v>32</v>
      </c>
      <c r="S42" s="18"/>
      <c r="T42" s="19"/>
      <c r="U42" s="20"/>
      <c r="V42" s="21" t="s">
        <v>101</v>
      </c>
    </row>
    <row r="43" ht="22.5" customHeight="1">
      <c r="A43" s="7" t="str">
        <f>IFERROR(__xludf.DUMMYFUNCTION("IFERROR(TO_TEXT(INDEX(Base!E:E, MATCH(B43, Base!A:A, 0))), ""mm.dd.yyyy"")
"),"02.26.2026")</f>
        <v>02.26.2026</v>
      </c>
      <c r="B43" s="8" t="s">
        <v>102</v>
      </c>
      <c r="C43" s="24" t="str">
        <f t="array" ref="C43">IFERROR(INDEX(Base!I:I,MATCH(B43,Base!A:A,0)),"Nome do Cliente")
</f>
        <v>MICHELLE DA SILVA CORREIA</v>
      </c>
      <c r="D43" s="10" t="str">
        <f t="array" ref="D43">IFERROR(INDEX(Base!G:G,MATCH(B43,Base!A:A,0)),"Modelo da Cond.")</f>
        <v>AJ100DXJ5KH/AZ</v>
      </c>
      <c r="E43" s="10" t="str">
        <f t="array" ref="E43">IFERROR(INDEX(Base!H:H,MATCH(B43,Base!A:A,0)),"N° Serial")</f>
        <v>0344PXBY900096T</v>
      </c>
      <c r="F43" s="10">
        <f t="shared" si="1"/>
        <v>52</v>
      </c>
      <c r="G43" s="11" t="s">
        <v>23</v>
      </c>
      <c r="H43" s="12" t="b">
        <v>1</v>
      </c>
      <c r="I43" s="13">
        <v>46100.0</v>
      </c>
      <c r="J43" s="14" t="s">
        <v>23</v>
      </c>
      <c r="K43" s="11" t="s">
        <v>23</v>
      </c>
      <c r="L43" s="15" t="b">
        <v>0</v>
      </c>
      <c r="M43" s="18"/>
      <c r="N43" s="12" t="b">
        <v>1</v>
      </c>
      <c r="O43" s="14" t="s">
        <v>24</v>
      </c>
      <c r="P43" s="14"/>
      <c r="Q43" s="14" t="s">
        <v>45</v>
      </c>
      <c r="R43" s="14" t="s">
        <v>32</v>
      </c>
      <c r="S43" s="18"/>
      <c r="T43" s="19"/>
      <c r="U43" s="20"/>
      <c r="V43" s="21" t="s">
        <v>103</v>
      </c>
    </row>
    <row r="44" ht="22.5" customHeight="1">
      <c r="A44" s="7" t="str">
        <f>IFERROR(__xludf.DUMMYFUNCTION("IFERROR(TO_TEXT(INDEX(Base!E:E, MATCH(B44, Base!A:A, 0))), ""mm.dd.yyyy"")
"),"02.26.2026")</f>
        <v>02.26.2026</v>
      </c>
      <c r="B44" s="8" t="s">
        <v>104</v>
      </c>
      <c r="C44" s="22" t="str">
        <f t="array" ref="C44">IFERROR(INDEX(Base!I:I,MATCH(B44,Base!A:A,0)),"Nome do Cliente")
</f>
        <v>A. V. N. Do Carmo Serviços LT</v>
      </c>
      <c r="D44" s="10" t="str">
        <f t="array" ref="D44">IFERROR(INDEX(Base!G:G,MATCH(B44,Base!A:A,0)),"Modelo da Cond.")</f>
        <v>AM260JXVAFH/AZ</v>
      </c>
      <c r="E44" s="10" t="str">
        <f t="array" ref="E44">IFERROR(INDEX(Base!H:H,MATCH(B44,Base!A:A,0)),"N° Serial")</f>
        <v>0U9QPAOWB00011R</v>
      </c>
      <c r="F44" s="10">
        <f t="shared" si="1"/>
        <v>52</v>
      </c>
      <c r="G44" s="11" t="s">
        <v>23</v>
      </c>
      <c r="H44" s="12" t="b">
        <v>1</v>
      </c>
      <c r="I44" s="13">
        <v>46087.0</v>
      </c>
      <c r="J44" s="14" t="s">
        <v>24</v>
      </c>
      <c r="K44" s="11" t="s">
        <v>29</v>
      </c>
      <c r="L44" s="15" t="b">
        <v>1</v>
      </c>
      <c r="M44" s="23">
        <v>46135.0</v>
      </c>
      <c r="N44" s="12" t="b">
        <v>0</v>
      </c>
      <c r="O44" s="14"/>
      <c r="P44" s="14"/>
      <c r="Q44" s="14"/>
      <c r="R44" s="14"/>
      <c r="S44" s="18"/>
      <c r="T44" s="19"/>
      <c r="U44" s="20"/>
      <c r="V44" s="21"/>
    </row>
    <row r="45" ht="22.5" customHeight="1">
      <c r="A45" s="7" t="str">
        <f>IFERROR(__xludf.DUMMYFUNCTION("IFERROR(TO_TEXT(INDEX(Base!E:E, MATCH(B45, Base!A:A, 0))), ""mm.dd.yyyy"")
"),"02.26.2026")</f>
        <v>02.26.2026</v>
      </c>
      <c r="B45" s="8" t="s">
        <v>105</v>
      </c>
      <c r="C45" s="61" t="str">
        <f t="array" ref="C45">IFERROR(INDEX(Base!I:I,MATCH(B45,Base!A:A,0)),"Nome do Cliente")
</f>
        <v>JESSIKA MARIA TERRA</v>
      </c>
      <c r="D45" s="10" t="str">
        <f t="array" ref="D45">IFERROR(INDEX(Base!G:G,MATCH(B45,Base!A:A,0)),"Modelo da Cond.")</f>
        <v>AJ035ANAPKH/AZ</v>
      </c>
      <c r="E45" s="10" t="str">
        <f t="array" ref="E45">IFERROR(INDEX(Base!H:H,MATCH(B45,Base!A:A,0)),"N° Serial")</f>
        <v>02TEPXCXA00087W</v>
      </c>
      <c r="F45" s="10">
        <f t="shared" si="1"/>
        <v>52</v>
      </c>
      <c r="G45" s="11" t="s">
        <v>23</v>
      </c>
      <c r="H45" s="12" t="b">
        <v>1</v>
      </c>
      <c r="I45" s="13">
        <v>46102.0</v>
      </c>
      <c r="J45" s="14" t="s">
        <v>23</v>
      </c>
      <c r="K45" s="11" t="s">
        <v>23</v>
      </c>
      <c r="L45" s="15" t="b">
        <v>0</v>
      </c>
      <c r="M45" s="18"/>
      <c r="N45" s="12" t="b">
        <v>1</v>
      </c>
      <c r="O45" s="14" t="s">
        <v>24</v>
      </c>
      <c r="P45" s="14"/>
      <c r="Q45" s="14" t="s">
        <v>45</v>
      </c>
      <c r="R45" s="14" t="s">
        <v>32</v>
      </c>
      <c r="S45" s="18"/>
      <c r="T45" s="19"/>
      <c r="U45" s="20"/>
      <c r="V45" s="21"/>
    </row>
    <row r="46" ht="22.5" customHeight="1">
      <c r="A46" s="78" t="str">
        <f>IFERROR(__xludf.DUMMYFUNCTION("IFERROR(TO_TEXT(INDEX(Base!E:E, MATCH(B46, Base!A:A, 0))), ""mm.dd.yyyy"")
"),"03.03.2026")</f>
        <v>03.03.2026</v>
      </c>
      <c r="B46" s="8" t="s">
        <v>106</v>
      </c>
      <c r="C46" s="25" t="str">
        <f t="array" ref="C46">IFERROR(INDEX(Base!I:I,MATCH(B46,Base!A:A,0)),"Nome do Cliente")
</f>
        <v>FLAVIA PARDO DE ANDRADE...</v>
      </c>
      <c r="D46" s="79" t="str">
        <f t="array" ref="D46">IFERROR(INDEX(Base!G:G,MATCH(B46,Base!A:A,0)),"Modelo da Cond.")</f>
        <v>AM024NN1DCH/AZ</v>
      </c>
      <c r="E46" s="79" t="str">
        <f t="array" ref="E46">IFERROR(INDEX(Base!H:H,MATCH(B46,Base!A:A,0)),"N° Serial")</f>
        <v>M000</v>
      </c>
      <c r="F46" s="79">
        <f t="shared" si="1"/>
        <v>47</v>
      </c>
      <c r="G46" s="11" t="s">
        <v>29</v>
      </c>
      <c r="H46" s="80" t="b">
        <v>1</v>
      </c>
      <c r="I46" s="81">
        <v>46087.0</v>
      </c>
      <c r="J46" s="82" t="s">
        <v>24</v>
      </c>
      <c r="K46" s="11" t="s">
        <v>23</v>
      </c>
      <c r="L46" s="83" t="b">
        <v>0</v>
      </c>
      <c r="M46" s="84"/>
      <c r="N46" s="80" t="b">
        <v>0</v>
      </c>
      <c r="O46" s="82"/>
      <c r="P46" s="14"/>
      <c r="Q46" s="82"/>
      <c r="R46" s="82"/>
      <c r="S46" s="84"/>
      <c r="T46" s="85"/>
      <c r="U46" s="20"/>
      <c r="V46" s="86" t="s">
        <v>107</v>
      </c>
    </row>
    <row r="47" ht="22.5" customHeight="1">
      <c r="A47" s="78" t="str">
        <f>IFERROR(__xludf.DUMMYFUNCTION("IFERROR(TO_TEXT(INDEX(Base!E:E, MATCH(B47, Base!A:A, 0))), ""mm.dd.yyyy"")
"),"03.03.2026")</f>
        <v>03.03.2026</v>
      </c>
      <c r="B47" s="8" t="s">
        <v>108</v>
      </c>
      <c r="C47" s="24" t="str">
        <f t="array" ref="C47">IFERROR(INDEX(Base!I:I,MATCH(B47,Base!A:A,0)),"Nome do Cliente")
</f>
        <v>Adriano Da Silva Moura</v>
      </c>
      <c r="D47" s="79" t="str">
        <f t="array" ref="D47">IFERROR(INDEX(Base!G:G,MATCH(B47,Base!A:A,0)),"Modelo da Cond.")</f>
        <v>AJ050ANAPKH2AZ</v>
      </c>
      <c r="E47" s="79" t="str">
        <f t="array" ref="E47">IFERROR(INDEX(Base!H:H,MATCH(B47,Base!A:A,0)),"N° Serial")</f>
        <v>0323PXCXC00327D</v>
      </c>
      <c r="F47" s="79">
        <f t="shared" si="1"/>
        <v>47</v>
      </c>
      <c r="G47" s="11" t="s">
        <v>35</v>
      </c>
      <c r="H47" s="80" t="b">
        <v>0</v>
      </c>
      <c r="I47" s="81"/>
      <c r="J47" s="82"/>
      <c r="K47" s="60"/>
      <c r="L47" s="83" t="b">
        <v>0</v>
      </c>
      <c r="M47" s="84"/>
      <c r="N47" s="80" t="b">
        <v>0</v>
      </c>
      <c r="O47" s="82"/>
      <c r="P47" s="14"/>
      <c r="Q47" s="82"/>
      <c r="R47" s="82"/>
      <c r="S47" s="84"/>
      <c r="T47" s="85"/>
      <c r="U47" s="20"/>
      <c r="V47" s="86"/>
    </row>
    <row r="48" ht="22.5" customHeight="1">
      <c r="A48" s="78" t="str">
        <f>IFERROR(__xludf.DUMMYFUNCTION("IFERROR(TO_TEXT(INDEX(Base!E:E, MATCH(B48, Base!A:A, 0))), ""mm.dd.yyyy"")
"),"03.03.2026")</f>
        <v>03.03.2026</v>
      </c>
      <c r="B48" s="8" t="s">
        <v>109</v>
      </c>
      <c r="C48" s="24" t="str">
        <f t="array" ref="C48">IFERROR(INDEX(Base!I:I,MATCH(B48,Base!A:A,0)),"Nome do Cliente")
</f>
        <v>GABRIELA TIMICH</v>
      </c>
      <c r="D48" s="79" t="str">
        <f t="array" ref="D48">IFERROR(INDEX(Base!G:G,MATCH(B48,Base!A:A,0)),"Modelo da Cond.")</f>
        <v>AJ035ANAPKH/AZ</v>
      </c>
      <c r="E48" s="79" t="str">
        <f t="array" ref="E48">IFERROR(INDEX(Base!H:H,MATCH(B48,Base!A:A,0)),"N° Serial")</f>
        <v>02TEPXAX200408N</v>
      </c>
      <c r="F48" s="79">
        <f t="shared" si="1"/>
        <v>47</v>
      </c>
      <c r="G48" s="11" t="s">
        <v>35</v>
      </c>
      <c r="H48" s="80" t="b">
        <v>0</v>
      </c>
      <c r="I48" s="81"/>
      <c r="J48" s="82"/>
      <c r="K48" s="60"/>
      <c r="L48" s="83" t="b">
        <v>0</v>
      </c>
      <c r="M48" s="84"/>
      <c r="N48" s="80" t="b">
        <v>0</v>
      </c>
      <c r="O48" s="82"/>
      <c r="P48" s="14"/>
      <c r="Q48" s="82"/>
      <c r="R48" s="82"/>
      <c r="S48" s="84"/>
      <c r="T48" s="85"/>
      <c r="U48" s="20"/>
      <c r="V48" s="86"/>
    </row>
    <row r="49" ht="22.5" customHeight="1">
      <c r="A49" s="78" t="str">
        <f>IFERROR(__xludf.DUMMYFUNCTION("IFERROR(TO_TEXT(INDEX(Base!E:E, MATCH(B49, Base!A:A, 0))), ""mm.dd.yyyy"")
"),"03.05.2026")</f>
        <v>03.05.2026</v>
      </c>
      <c r="B49" s="8" t="s">
        <v>110</v>
      </c>
      <c r="C49" s="24" t="str">
        <f t="array" ref="C49">IFERROR(INDEX(Base!I:I,MATCH(B49,Base!A:A,0)),"Nome do Cliente")
</f>
        <v>LORENA VISENTAINER</v>
      </c>
      <c r="D49" s="79" t="str">
        <f t="array" ref="D49">IFERROR(INDEX(Base!G:G,MATCH(B49,Base!A:A,0)),"Modelo da Cond.")</f>
        <v>AC048DXADKG/AZ</v>
      </c>
      <c r="E49" s="79" t="str">
        <f t="array" ref="E49">IFERROR(INDEX(Base!H:H,MATCH(B49,Base!A:A,0)),"N° Serial")</f>
        <v>030YPXBY600192V</v>
      </c>
      <c r="F49" s="79">
        <f t="shared" si="1"/>
        <v>45</v>
      </c>
      <c r="G49" s="11" t="s">
        <v>29</v>
      </c>
      <c r="H49" s="80" t="b">
        <v>0</v>
      </c>
      <c r="I49" s="81"/>
      <c r="J49" s="82"/>
      <c r="K49" s="60"/>
      <c r="L49" s="83" t="b">
        <v>0</v>
      </c>
      <c r="M49" s="84"/>
      <c r="N49" s="80" t="b">
        <v>0</v>
      </c>
      <c r="O49" s="88"/>
      <c r="P49" s="14"/>
      <c r="Q49" s="88"/>
      <c r="R49" s="88"/>
      <c r="S49" s="84"/>
      <c r="T49" s="85"/>
      <c r="U49" s="20"/>
      <c r="V49" s="86"/>
    </row>
    <row r="50" ht="22.5" customHeight="1">
      <c r="A50" s="78" t="str">
        <f>IFERROR(__xludf.DUMMYFUNCTION("IFERROR(TO_TEXT(INDEX(Base!E:E, MATCH(B50, Base!A:A, 0))), ""mm.dd.yyyy"")
"),"03.03.2026")</f>
        <v>03.03.2026</v>
      </c>
      <c r="B50" s="8" t="s">
        <v>111</v>
      </c>
      <c r="C50" s="24" t="str">
        <f t="array" ref="C50">IFERROR(INDEX(Base!I:I,MATCH(B50,Base!A:A,0)),"Nome do Cliente")
</f>
        <v>ANGELITA PRISCILA MARQUES</v>
      </c>
      <c r="D50" s="79" t="str">
        <f t="array" ref="D50">IFERROR(INDEX(Base!G:G,MATCH(B50,Base!A:A,0)),"Modelo da Cond.")</f>
        <v>AJ080AXJ4KH/AZ</v>
      </c>
      <c r="E50" s="79" t="str">
        <f t="array" ref="E50">IFERROR(INDEX(Base!H:H,MATCH(B50,Base!A:A,0)),"N° Serial")</f>
        <v>02TMPXBX900360H</v>
      </c>
      <c r="F50" s="79">
        <f t="shared" si="1"/>
        <v>47</v>
      </c>
      <c r="G50" s="11" t="s">
        <v>23</v>
      </c>
      <c r="H50" s="80" t="b">
        <v>0</v>
      </c>
      <c r="I50" s="81"/>
      <c r="J50" s="82"/>
      <c r="K50" s="60"/>
      <c r="L50" s="83" t="b">
        <v>0</v>
      </c>
      <c r="M50" s="84"/>
      <c r="N50" s="80" t="b">
        <v>0</v>
      </c>
      <c r="O50" s="82"/>
      <c r="P50" s="14"/>
      <c r="Q50" s="82"/>
      <c r="R50" s="82"/>
      <c r="S50" s="84"/>
      <c r="T50" s="85"/>
      <c r="U50" s="20"/>
      <c r="V50" s="86"/>
    </row>
    <row r="51" ht="22.5" customHeight="1">
      <c r="A51" s="78" t="str">
        <f>IFERROR(__xludf.DUMMYFUNCTION("IFERROR(TO_TEXT(INDEX(Base!E:E, MATCH(B51, Base!A:A, 0))), ""mm.dd.yyyy"")
"),"03.03.2026")</f>
        <v>03.03.2026</v>
      </c>
      <c r="B51" s="8" t="s">
        <v>112</v>
      </c>
      <c r="C51" s="24" t="str">
        <f t="array" ref="C51">IFERROR(INDEX(Base!I:I,MATCH(B51,Base!A:A,0)),"Nome do Cliente")
</f>
        <v>MARISTELA CALDERARI</v>
      </c>
      <c r="D51" s="79" t="str">
        <f t="array" ref="D51">IFERROR(INDEX(Base!G:G,MATCH(B51,Base!A:A,0)),"Modelo da Cond.")</f>
        <v>AC036DXADKG/AZ</v>
      </c>
      <c r="E51" s="79" t="str">
        <f t="array" ref="E51">IFERROR(INDEX(Base!H:H,MATCH(B51,Base!A:A,0)),"N° Serial")</f>
        <v>030RPXBXA00040H</v>
      </c>
      <c r="F51" s="79">
        <f t="shared" si="1"/>
        <v>47</v>
      </c>
      <c r="G51" s="11" t="s">
        <v>23</v>
      </c>
      <c r="H51" s="80" t="b">
        <v>0</v>
      </c>
      <c r="I51" s="81"/>
      <c r="J51" s="82"/>
      <c r="K51" s="60"/>
      <c r="L51" s="83" t="b">
        <v>0</v>
      </c>
      <c r="M51" s="84"/>
      <c r="N51" s="80" t="b">
        <v>0</v>
      </c>
      <c r="O51" s="82"/>
      <c r="P51" s="14"/>
      <c r="Q51" s="82"/>
      <c r="R51" s="82"/>
      <c r="S51" s="84"/>
      <c r="T51" s="85"/>
      <c r="U51" s="20"/>
      <c r="V51" s="86"/>
    </row>
    <row r="52" ht="22.5" customHeight="1">
      <c r="A52" s="78" t="str">
        <f>IFERROR(__xludf.DUMMYFUNCTION("IFERROR(TO_TEXT(INDEX(Base!E:E, MATCH(B52, Base!A:A, 0))), ""mm.dd.yyyy"")
"),"03.03.2026")</f>
        <v>03.03.2026</v>
      </c>
      <c r="B52" s="8" t="s">
        <v>113</v>
      </c>
      <c r="C52" s="61" t="str">
        <f t="array" ref="C52">IFERROR(INDEX(Base!I:I,MATCH(B52,Base!A:A,0)),"Nome do Cliente")
</f>
        <v>MICHELLE TAWIL ZEIN</v>
      </c>
      <c r="D52" s="79" t="str">
        <f t="array" ref="D52">IFERROR(INDEX(Base!G:G,MATCH(B52,Base!A:A,0)),"Modelo da Cond.")</f>
        <v>AJ050AXJ2KH/AZ</v>
      </c>
      <c r="E52" s="79" t="str">
        <f t="array" ref="E52">IFERROR(INDEX(Base!H:H,MATCH(B52,Base!A:A,0)),"N° Serial")</f>
        <v>02TGPXBX600281Z</v>
      </c>
      <c r="F52" s="79">
        <f t="shared" si="1"/>
        <v>47</v>
      </c>
      <c r="G52" s="11" t="s">
        <v>23</v>
      </c>
      <c r="H52" s="80" t="b">
        <v>1</v>
      </c>
      <c r="I52" s="81">
        <v>46098.0</v>
      </c>
      <c r="J52" s="82" t="s">
        <v>24</v>
      </c>
      <c r="K52" s="11" t="s">
        <v>35</v>
      </c>
      <c r="L52" s="83" t="b">
        <v>1</v>
      </c>
      <c r="M52" s="89">
        <v>46127.0</v>
      </c>
      <c r="N52" s="80" t="b">
        <v>0</v>
      </c>
      <c r="O52" s="82"/>
      <c r="P52" s="14"/>
      <c r="Q52" s="82"/>
      <c r="R52" s="82"/>
      <c r="S52" s="84"/>
      <c r="T52" s="85"/>
      <c r="U52" s="20"/>
      <c r="V52" s="86" t="s">
        <v>114</v>
      </c>
    </row>
    <row r="53" ht="22.5" customHeight="1">
      <c r="A53" s="78" t="str">
        <f>IFERROR(__xludf.DUMMYFUNCTION("IFERROR(TO_TEXT(INDEX(Base!E:E, MATCH(B53, Base!A:A, 0))), ""mm.dd.yyyy"")
"),"03.03.2026")</f>
        <v>03.03.2026</v>
      </c>
      <c r="B53" s="8" t="s">
        <v>115</v>
      </c>
      <c r="C53" s="61" t="str">
        <f t="array" ref="C53">IFERROR(INDEX(Base!I:I,MATCH(B53,Base!A:A,0)),"Nome do Cliente")
</f>
        <v>FERNANDA HENRIQUES</v>
      </c>
      <c r="D53" s="79" t="str">
        <f t="array" ref="D53">IFERROR(INDEX(Base!G:G,MATCH(B53,Base!A:A,0)),"Modelo da Cond.")</f>
        <v>AJ025ANAPKH/AZ</v>
      </c>
      <c r="E53" s="79" t="str">
        <f t="array" ref="E53">IFERROR(INDEX(Base!H:H,MATCH(B53,Base!A:A,0)),"N° Serial")</f>
        <v>02TDPXCX400643B</v>
      </c>
      <c r="F53" s="79">
        <f t="shared" si="1"/>
        <v>47</v>
      </c>
      <c r="G53" s="11" t="s">
        <v>23</v>
      </c>
      <c r="H53" s="80" t="b">
        <v>1</v>
      </c>
      <c r="I53" s="81">
        <v>46107.0</v>
      </c>
      <c r="J53" s="82" t="s">
        <v>24</v>
      </c>
      <c r="K53" s="11" t="s">
        <v>29</v>
      </c>
      <c r="L53" s="83" t="b">
        <v>1</v>
      </c>
      <c r="M53" s="89">
        <v>46128.0</v>
      </c>
      <c r="N53" s="80" t="b">
        <v>1</v>
      </c>
      <c r="O53" s="82" t="s">
        <v>24</v>
      </c>
      <c r="P53" s="14" t="s">
        <v>23</v>
      </c>
      <c r="Q53" s="82" t="s">
        <v>81</v>
      </c>
      <c r="R53" s="82" t="s">
        <v>44</v>
      </c>
      <c r="S53" s="84"/>
      <c r="T53" s="85"/>
      <c r="U53" s="20"/>
      <c r="V53" s="86" t="s">
        <v>116</v>
      </c>
    </row>
    <row r="54" ht="22.5" customHeight="1">
      <c r="A54" s="78" t="str">
        <f>IFERROR(__xludf.DUMMYFUNCTION("IFERROR(TO_TEXT(INDEX(Base!E:E, MATCH(B54, Base!A:A, 0))), ""mm.dd.yyyy"")
"),"03.03.2026")</f>
        <v>03.03.2026</v>
      </c>
      <c r="B54" s="8" t="s">
        <v>117</v>
      </c>
      <c r="C54" s="24" t="str">
        <f t="array" ref="C54">IFERROR(INDEX(Base!I:I,MATCH(B54,Base!A:A,0)),"Nome do Cliente")
</f>
        <v>Luiz Pannuti Carra</v>
      </c>
      <c r="D54" s="79" t="str">
        <f t="array" ref="D54">IFERROR(INDEX(Base!G:G,MATCH(B54,Base!A:A,0)),"Modelo da Cond.")</f>
        <v>AC018DN4DKG/AZ</v>
      </c>
      <c r="E54" s="79" t="str">
        <f t="array" ref="E54">IFERROR(INDEX(Base!H:H,MATCH(B54,Base!A:A,0)),"N° Serial")</f>
        <v>030APXAXC00047B</v>
      </c>
      <c r="F54" s="79">
        <f t="shared" si="1"/>
        <v>47</v>
      </c>
      <c r="G54" s="11" t="s">
        <v>23</v>
      </c>
      <c r="H54" s="80" t="b">
        <v>0</v>
      </c>
      <c r="I54" s="81"/>
      <c r="J54" s="82"/>
      <c r="K54" s="60"/>
      <c r="L54" s="83" t="b">
        <v>0</v>
      </c>
      <c r="M54" s="84"/>
      <c r="N54" s="80" t="b">
        <v>0</v>
      </c>
      <c r="O54" s="82"/>
      <c r="P54" s="14"/>
      <c r="Q54" s="82"/>
      <c r="R54" s="82"/>
      <c r="S54" s="84"/>
      <c r="T54" s="85"/>
      <c r="U54" s="20"/>
      <c r="V54" s="86"/>
    </row>
    <row r="55" ht="22.5" customHeight="1">
      <c r="A55" s="78" t="str">
        <f>IFERROR(__xludf.DUMMYFUNCTION("IFERROR(TO_TEXT(INDEX(Base!E:E, MATCH(B55, Base!A:A, 0))), ""mm.dd.yyyy"")
"),"03.03.2026")</f>
        <v>03.03.2026</v>
      </c>
      <c r="B55" s="8" t="s">
        <v>118</v>
      </c>
      <c r="C55" s="61" t="str">
        <f t="array" ref="C55">IFERROR(INDEX(Base!I:I,MATCH(B55,Base!A:A,0)),"Nome do Cliente")
</f>
        <v>KELLI ANDREIA COBOSKI</v>
      </c>
      <c r="D55" s="79" t="str">
        <f t="array" ref="D55">IFERROR(INDEX(Base!G:G,MATCH(B55,Base!A:A,0)),"Modelo da Cond.")</f>
        <v>AJ080AXJ4KH/AZ</v>
      </c>
      <c r="E55" s="79" t="str">
        <f t="array" ref="E55">IFERROR(INDEX(Base!H:H,MATCH(B55,Base!A:A,0)),"N° Serial")</f>
        <v>02TMPXBX600187T</v>
      </c>
      <c r="F55" s="79">
        <f t="shared" si="1"/>
        <v>47</v>
      </c>
      <c r="G55" s="11" t="s">
        <v>23</v>
      </c>
      <c r="H55" s="80" t="b">
        <v>1</v>
      </c>
      <c r="I55" s="81">
        <v>46100.0</v>
      </c>
      <c r="J55" s="82" t="s">
        <v>23</v>
      </c>
      <c r="K55" s="11" t="s">
        <v>23</v>
      </c>
      <c r="L55" s="83" t="b">
        <v>0</v>
      </c>
      <c r="M55" s="84"/>
      <c r="N55" s="80" t="b">
        <v>1</v>
      </c>
      <c r="O55" s="82" t="s">
        <v>24</v>
      </c>
      <c r="P55" s="14" t="s">
        <v>24</v>
      </c>
      <c r="Q55" s="82" t="s">
        <v>45</v>
      </c>
      <c r="R55" s="82" t="s">
        <v>44</v>
      </c>
      <c r="S55" s="84"/>
      <c r="T55" s="85"/>
      <c r="U55" s="20"/>
      <c r="V55" s="86" t="s">
        <v>119</v>
      </c>
    </row>
    <row r="56" ht="22.5" customHeight="1">
      <c r="A56" s="78" t="str">
        <f>IFERROR(__xludf.DUMMYFUNCTION("IFERROR(TO_TEXT(INDEX(Base!E:E, MATCH(B56, Base!A:A, 0))), ""mm.dd.yyyy"")
"),"02.10.2026")</f>
        <v>02.10.2026</v>
      </c>
      <c r="B56" s="8" t="s">
        <v>120</v>
      </c>
      <c r="C56" s="24" t="str">
        <f t="array" ref="C56">IFERROR(INDEX(Base!I:I,MATCH(B56,Base!A:A,0)),"Nome do Cliente")
</f>
        <v>Paulo Corigliano</v>
      </c>
      <c r="D56" s="79" t="str">
        <f t="array" ref="D56">IFERROR(INDEX(Base!G:G,MATCH(B56,Base!A:A,0)),"Modelo da Cond.")</f>
        <v>AJ017NCJ2CH/AZ</v>
      </c>
      <c r="E56" s="79" t="str">
        <f t="array" ref="E56">IFERROR(INDEX(Base!H:H,MATCH(B56,Base!A:A,0)),"N° Serial")</f>
        <v>M000</v>
      </c>
      <c r="F56" s="79">
        <f t="shared" si="1"/>
        <v>68</v>
      </c>
      <c r="G56" s="11" t="s">
        <v>23</v>
      </c>
      <c r="H56" s="80" t="b">
        <v>0</v>
      </c>
      <c r="I56" s="81"/>
      <c r="J56" s="82"/>
      <c r="K56" s="60"/>
      <c r="L56" s="83" t="b">
        <v>0</v>
      </c>
      <c r="M56" s="84"/>
      <c r="N56" s="80" t="b">
        <v>0</v>
      </c>
      <c r="O56" s="82"/>
      <c r="P56" s="14"/>
      <c r="Q56" s="82"/>
      <c r="R56" s="82"/>
      <c r="S56" s="84"/>
      <c r="T56" s="85"/>
      <c r="U56" s="20"/>
      <c r="V56" s="86"/>
    </row>
    <row r="57" ht="22.5" customHeight="1">
      <c r="A57" s="78" t="str">
        <f>IFERROR(__xludf.DUMMYFUNCTION("IFERROR(TO_TEXT(INDEX(Base!E:E, MATCH(B57, Base!A:A, 0))), ""mm.dd.yyyy"")
"),"02.10.2026")</f>
        <v>02.10.2026</v>
      </c>
      <c r="B57" s="8" t="s">
        <v>121</v>
      </c>
      <c r="C57" s="61" t="str">
        <f t="array" ref="C57">IFERROR(INDEX(Base!I:I,MATCH(B57,Base!A:A,0)),"Nome do Cliente")
</f>
        <v>IVAN ANTONIO ARALDI</v>
      </c>
      <c r="D57" s="79" t="str">
        <f t="array" ref="D57">IFERROR(INDEX(Base!G:G,MATCH(B57,Base!A:A,0)),"Modelo da Cond.")</f>
        <v>AC036DN6DKG/AZ</v>
      </c>
      <c r="E57" s="79" t="str">
        <f t="array" ref="E57">IFERROR(INDEX(Base!H:H,MATCH(B57,Base!A:A,0)),"N° Serial")</f>
        <v>030LPXAY600045E</v>
      </c>
      <c r="F57" s="79">
        <f t="shared" si="1"/>
        <v>68</v>
      </c>
      <c r="G57" s="11" t="s">
        <v>29</v>
      </c>
      <c r="H57" s="80" t="b">
        <v>1</v>
      </c>
      <c r="I57" s="81">
        <v>46098.0</v>
      </c>
      <c r="J57" s="82" t="s">
        <v>24</v>
      </c>
      <c r="K57" s="11" t="s">
        <v>23</v>
      </c>
      <c r="L57" s="83" t="b">
        <v>1</v>
      </c>
      <c r="M57" s="89">
        <v>46114.0</v>
      </c>
      <c r="N57" s="80" t="b">
        <v>1</v>
      </c>
      <c r="O57" s="82" t="s">
        <v>24</v>
      </c>
      <c r="P57" s="14"/>
      <c r="Q57" s="82" t="s">
        <v>45</v>
      </c>
      <c r="R57" s="82" t="s">
        <v>44</v>
      </c>
      <c r="S57" s="84"/>
      <c r="T57" s="85"/>
      <c r="U57" s="20"/>
      <c r="V57" s="86" t="s">
        <v>122</v>
      </c>
    </row>
    <row r="58" ht="22.5" customHeight="1">
      <c r="A58" s="78" t="str">
        <f>IFERROR(__xludf.DUMMYFUNCTION("IFERROR(TO_TEXT(INDEX(Base!E:E, MATCH(B58, Base!A:A, 0))), ""mm.dd.yyyy"")
"),"02.10.2026")</f>
        <v>02.10.2026</v>
      </c>
      <c r="B58" s="8" t="s">
        <v>123</v>
      </c>
      <c r="C58" s="22" t="str">
        <f t="array" ref="C58">IFERROR(INDEX(Base!I:I,MATCH(B58,Base!A:A,0)),"Nome do Cliente")
</f>
        <v>EDSON DE ARAUJO CORREIA</v>
      </c>
      <c r="D58" s="79" t="str">
        <f t="array" ref="D58">IFERROR(INDEX(Base!G:G,MATCH(B58,Base!A:A,0)),"Modelo da Cond.")</f>
        <v>AJ025ANAPKH2AZ</v>
      </c>
      <c r="E58" s="79" t="str">
        <f t="array" ref="E58">IFERROR(INDEX(Base!H:H,MATCH(B58,Base!A:A,0)),"N° Serial")</f>
        <v>0321PXCX800707J</v>
      </c>
      <c r="F58" s="79">
        <f t="shared" si="1"/>
        <v>68</v>
      </c>
      <c r="G58" s="11" t="s">
        <v>29</v>
      </c>
      <c r="H58" s="80" t="b">
        <v>1</v>
      </c>
      <c r="I58" s="81">
        <v>46136.0</v>
      </c>
      <c r="J58" s="82"/>
      <c r="K58" s="60"/>
      <c r="L58" s="83" t="b">
        <v>0</v>
      </c>
      <c r="M58" s="84"/>
      <c r="N58" s="80" t="b">
        <v>0</v>
      </c>
      <c r="O58" s="82"/>
      <c r="P58" s="14"/>
      <c r="Q58" s="82"/>
      <c r="R58" s="82"/>
      <c r="S58" s="84"/>
      <c r="T58" s="85"/>
      <c r="U58" s="20"/>
      <c r="V58" s="86"/>
    </row>
    <row r="59" ht="22.5" customHeight="1">
      <c r="A59" s="78" t="str">
        <f>IFERROR(__xludf.DUMMYFUNCTION("IFERROR(TO_TEXT(INDEX(Base!E:E, MATCH(B59, Base!A:A, 0))), ""mm.dd.yyyy"")
"),"02.11.2026")</f>
        <v>02.11.2026</v>
      </c>
      <c r="B59" s="8" t="s">
        <v>124</v>
      </c>
      <c r="C59" s="24" t="str">
        <f t="array" ref="C59">IFERROR(INDEX(Base!I:I,MATCH(B59,Base!A:A,0)),"Nome do Cliente")
</f>
        <v>Wu Yunan</v>
      </c>
      <c r="D59" s="79" t="str">
        <f t="array" ref="D59">IFERROR(INDEX(Base!G:G,MATCH(B59,Base!A:A,0)),"Modelo da Cond.")</f>
        <v>AJ025ANAPKH2AZ</v>
      </c>
      <c r="E59" s="79" t="str">
        <f t="array" ref="E59">IFERROR(INDEX(Base!H:H,MATCH(B59,Base!A:A,0)),"N° Serial")</f>
        <v>M000</v>
      </c>
      <c r="F59" s="79">
        <f t="shared" si="1"/>
        <v>67</v>
      </c>
      <c r="G59" s="11" t="s">
        <v>23</v>
      </c>
      <c r="H59" s="80" t="b">
        <v>0</v>
      </c>
      <c r="I59" s="81"/>
      <c r="J59" s="82"/>
      <c r="K59" s="60"/>
      <c r="L59" s="83" t="b">
        <v>0</v>
      </c>
      <c r="M59" s="84"/>
      <c r="N59" s="80" t="b">
        <v>0</v>
      </c>
      <c r="O59" s="82"/>
      <c r="P59" s="14"/>
      <c r="Q59" s="82"/>
      <c r="R59" s="82"/>
      <c r="S59" s="84"/>
      <c r="T59" s="85"/>
      <c r="U59" s="20"/>
      <c r="V59" s="86"/>
    </row>
    <row r="60" ht="22.5" customHeight="1">
      <c r="A60" s="78" t="str">
        <f>IFERROR(__xludf.DUMMYFUNCTION("IFERROR(TO_TEXT(INDEX(Base!E:E, MATCH(B60, Base!A:A, 0))), ""mm.dd.yyyy"")
"),"02.11.2026")</f>
        <v>02.11.2026</v>
      </c>
      <c r="B60" s="8" t="s">
        <v>125</v>
      </c>
      <c r="C60" s="24" t="str">
        <f t="array" ref="C60">IFERROR(INDEX(Base!I:I,MATCH(B60,Base!A:A,0)),"Nome do Cliente")
</f>
        <v>Vitorio Santana da Silva</v>
      </c>
      <c r="D60" s="79" t="str">
        <f t="array" ref="D60">IFERROR(INDEX(Base!G:G,MATCH(B60,Base!A:A,0)),"Modelo da Cond.")</f>
        <v>AJ025ANAPKH2AZ</v>
      </c>
      <c r="E60" s="79" t="str">
        <f t="array" ref="E60">IFERROR(INDEX(Base!H:H,MATCH(B60,Base!A:A,0)),"N° Serial")</f>
        <v>M000</v>
      </c>
      <c r="F60" s="79">
        <f t="shared" si="1"/>
        <v>67</v>
      </c>
      <c r="G60" s="11" t="s">
        <v>23</v>
      </c>
      <c r="H60" s="80" t="b">
        <v>0</v>
      </c>
      <c r="I60" s="81"/>
      <c r="J60" s="82"/>
      <c r="K60" s="60"/>
      <c r="L60" s="83" t="b">
        <v>0</v>
      </c>
      <c r="M60" s="84"/>
      <c r="N60" s="80" t="b">
        <v>0</v>
      </c>
      <c r="O60" s="82"/>
      <c r="P60" s="14"/>
      <c r="Q60" s="82"/>
      <c r="R60" s="82"/>
      <c r="S60" s="84"/>
      <c r="T60" s="85"/>
      <c r="U60" s="20"/>
      <c r="V60" s="86"/>
    </row>
    <row r="61" ht="22.5" customHeight="1">
      <c r="A61" s="78" t="str">
        <f>IFERROR(__xludf.DUMMYFUNCTION("IFERROR(TO_TEXT(INDEX(Base!E:E, MATCH(B61, Base!A:A, 0))), ""mm.dd.yyyy"")
"),"02.11.2026")</f>
        <v>02.11.2026</v>
      </c>
      <c r="B61" s="8" t="s">
        <v>126</v>
      </c>
      <c r="C61" s="24" t="str">
        <f t="array" ref="C61">IFERROR(INDEX(Base!I:I,MATCH(B61,Base!A:A,0)),"Nome do Cliente")
</f>
        <v>Lucas Souza de Araújo</v>
      </c>
      <c r="D61" s="79" t="str">
        <f t="array" ref="D61">IFERROR(INDEX(Base!G:G,MATCH(B61,Base!A:A,0)),"Modelo da Cond.")</f>
        <v>AJ035ANAPKH2AZ</v>
      </c>
      <c r="E61" s="79" t="str">
        <f t="array" ref="E61">IFERROR(INDEX(Base!H:H,MATCH(B61,Base!A:A,0)),"N° Serial")</f>
        <v>M000</v>
      </c>
      <c r="F61" s="79">
        <f t="shared" si="1"/>
        <v>67</v>
      </c>
      <c r="G61" s="11" t="s">
        <v>23</v>
      </c>
      <c r="H61" s="80" t="b">
        <v>0</v>
      </c>
      <c r="I61" s="81"/>
      <c r="J61" s="82"/>
      <c r="K61" s="60"/>
      <c r="L61" s="83" t="b">
        <v>0</v>
      </c>
      <c r="M61" s="84"/>
      <c r="N61" s="80" t="b">
        <v>0</v>
      </c>
      <c r="O61" s="82"/>
      <c r="P61" s="14"/>
      <c r="Q61" s="82"/>
      <c r="R61" s="82"/>
      <c r="S61" s="84"/>
      <c r="T61" s="85"/>
      <c r="U61" s="20"/>
      <c r="V61" s="86"/>
    </row>
    <row r="62" ht="22.5" customHeight="1">
      <c r="A62" s="78" t="str">
        <f>IFERROR(__xludf.DUMMYFUNCTION("IFERROR(TO_TEXT(INDEX(Base!E:E, MATCH(B62, Base!A:A, 0))), ""mm.dd.yyyy"")
"),"02.11.2026")</f>
        <v>02.11.2026</v>
      </c>
      <c r="B62" s="8" t="s">
        <v>127</v>
      </c>
      <c r="C62" s="24" t="str">
        <f t="array" ref="C62">IFERROR(INDEX(Base!I:I,MATCH(B62,Base!A:A,0)),"Nome do Cliente")
</f>
        <v>LUIZ RICARDO MALHEIROS</v>
      </c>
      <c r="D62" s="79" t="str">
        <f t="array" ref="D62">IFERROR(INDEX(Base!G:G,MATCH(B62,Base!A:A,0)),"Modelo da Cond.")</f>
        <v>AC036DN6DKG/AZ</v>
      </c>
      <c r="E62" s="79" t="str">
        <f t="array" ref="E62">IFERROR(INDEX(Base!H:H,MATCH(B62,Base!A:A,0)),"N° Serial")</f>
        <v>M000</v>
      </c>
      <c r="F62" s="79">
        <f t="shared" si="1"/>
        <v>67</v>
      </c>
      <c r="G62" s="11" t="s">
        <v>23</v>
      </c>
      <c r="H62" s="80" t="b">
        <v>0</v>
      </c>
      <c r="I62" s="81"/>
      <c r="J62" s="82"/>
      <c r="K62" s="60"/>
      <c r="L62" s="83" t="b">
        <v>0</v>
      </c>
      <c r="M62" s="84"/>
      <c r="N62" s="80" t="b">
        <v>0</v>
      </c>
      <c r="O62" s="82"/>
      <c r="P62" s="14"/>
      <c r="Q62" s="82"/>
      <c r="R62" s="82"/>
      <c r="S62" s="84"/>
      <c r="T62" s="85"/>
      <c r="U62" s="20"/>
      <c r="V62" s="86"/>
    </row>
    <row r="63" ht="22.5" customHeight="1">
      <c r="A63" s="78" t="str">
        <f>IFERROR(__xludf.DUMMYFUNCTION("IFERROR(TO_TEXT(INDEX(Base!E:E, MATCH(B63, Base!A:A, 0))), ""mm.dd.yyyy"")
"),"02.11.2026")</f>
        <v>02.11.2026</v>
      </c>
      <c r="B63" s="8" t="s">
        <v>128</v>
      </c>
      <c r="C63" s="24" t="str">
        <f t="array" ref="C63">IFERROR(INDEX(Base!I:I,MATCH(B63,Base!A:A,0)),"Nome do Cliente")
</f>
        <v>LUCAS CAMARGO PEREIRA LIMA</v>
      </c>
      <c r="D63" s="79" t="str">
        <f t="array" ref="D63">IFERROR(INDEX(Base!G:G,MATCH(B63,Base!A:A,0)),"Modelo da Cond.")</f>
        <v>AJ025ANAPKH/AZ</v>
      </c>
      <c r="E63" s="79" t="str">
        <f t="array" ref="E63">IFERROR(INDEX(Base!H:H,MATCH(B63,Base!A:A,0)),"N° Serial")</f>
        <v>M000</v>
      </c>
      <c r="F63" s="79">
        <f t="shared" si="1"/>
        <v>67</v>
      </c>
      <c r="G63" s="11" t="s">
        <v>35</v>
      </c>
      <c r="H63" s="80" t="b">
        <v>0</v>
      </c>
      <c r="I63" s="81"/>
      <c r="J63" s="82"/>
      <c r="K63" s="60"/>
      <c r="L63" s="83" t="b">
        <v>0</v>
      </c>
      <c r="M63" s="84"/>
      <c r="N63" s="80" t="b">
        <v>0</v>
      </c>
      <c r="O63" s="82"/>
      <c r="P63" s="14"/>
      <c r="Q63" s="82"/>
      <c r="R63" s="82"/>
      <c r="S63" s="84"/>
      <c r="T63" s="85"/>
      <c r="U63" s="20"/>
      <c r="V63" s="86"/>
    </row>
    <row r="64" ht="22.5" customHeight="1">
      <c r="A64" s="78" t="str">
        <f>IFERROR(__xludf.DUMMYFUNCTION("IFERROR(TO_TEXT(INDEX(Base!E:E, MATCH(B64, Base!A:A, 0))), ""mm.dd.yyyy"")
"),"02.11.2026")</f>
        <v>02.11.2026</v>
      </c>
      <c r="B64" s="8" t="s">
        <v>129</v>
      </c>
      <c r="C64" s="24" t="str">
        <f t="array" ref="C64">IFERROR(INDEX(Base!I:I,MATCH(B64,Base!A:A,0)),"Nome do Cliente")
</f>
        <v>Ana carolina Rossetti</v>
      </c>
      <c r="D64" s="79" t="str">
        <f t="array" ref="D64">IFERROR(INDEX(Base!G:G,MATCH(B64,Base!A:A,0)),"Modelo da Cond.")</f>
        <v>AJ035ANAPKH/AZ</v>
      </c>
      <c r="E64" s="79" t="str">
        <f t="array" ref="E64">IFERROR(INDEX(Base!H:H,MATCH(B64,Base!A:A,0)),"N° Serial")</f>
        <v>M000</v>
      </c>
      <c r="F64" s="79">
        <f t="shared" si="1"/>
        <v>67</v>
      </c>
      <c r="G64" s="11" t="s">
        <v>23</v>
      </c>
      <c r="H64" s="80" t="b">
        <v>0</v>
      </c>
      <c r="I64" s="81"/>
      <c r="J64" s="82"/>
      <c r="K64" s="60"/>
      <c r="L64" s="83" t="b">
        <v>0</v>
      </c>
      <c r="M64" s="84"/>
      <c r="N64" s="80" t="b">
        <v>0</v>
      </c>
      <c r="O64" s="82"/>
      <c r="P64" s="14"/>
      <c r="Q64" s="82"/>
      <c r="R64" s="82"/>
      <c r="S64" s="84"/>
      <c r="T64" s="85"/>
      <c r="U64" s="20"/>
      <c r="V64" s="86"/>
    </row>
    <row r="65" ht="22.5" customHeight="1">
      <c r="A65" s="78" t="str">
        <f>IFERROR(__xludf.DUMMYFUNCTION("IFERROR(TO_TEXT(INDEX(Base!E:E, MATCH(B65, Base!A:A, 0))), ""mm.dd.yyyy"")
"),"02.11.2026")</f>
        <v>02.11.2026</v>
      </c>
      <c r="B65" s="8" t="s">
        <v>130</v>
      </c>
      <c r="C65" s="24" t="str">
        <f t="array" ref="C65">IFERROR(INDEX(Base!I:I,MATCH(B65,Base!A:A,0)),"Nome do Cliente")
</f>
        <v>RODRIGO FORTES</v>
      </c>
      <c r="D65" s="79" t="str">
        <f t="array" ref="D65">IFERROR(INDEX(Base!G:G,MATCH(B65,Base!A:A,0)),"Modelo da Cond.")</f>
        <v>AJ025ANAPKH2AZ</v>
      </c>
      <c r="E65" s="79" t="str">
        <f t="array" ref="E65">IFERROR(INDEX(Base!H:H,MATCH(B65,Base!A:A,0)),"N° Serial")</f>
        <v>M000</v>
      </c>
      <c r="F65" s="79">
        <f t="shared" si="1"/>
        <v>67</v>
      </c>
      <c r="G65" s="11" t="s">
        <v>23</v>
      </c>
      <c r="H65" s="80" t="b">
        <v>0</v>
      </c>
      <c r="I65" s="81"/>
      <c r="J65" s="82"/>
      <c r="K65" s="60"/>
      <c r="L65" s="83" t="b">
        <v>0</v>
      </c>
      <c r="M65" s="84"/>
      <c r="N65" s="80" t="b">
        <v>0</v>
      </c>
      <c r="O65" s="82"/>
      <c r="P65" s="14"/>
      <c r="Q65" s="82"/>
      <c r="R65" s="82"/>
      <c r="S65" s="84"/>
      <c r="T65" s="85"/>
      <c r="U65" s="20"/>
      <c r="V65" s="86"/>
    </row>
    <row r="66" ht="22.5" customHeight="1">
      <c r="A66" s="78" t="str">
        <f>IFERROR(__xludf.DUMMYFUNCTION("IFERROR(TO_TEXT(INDEX(Base!E:E, MATCH(B66, Base!A:A, 0))), ""mm.dd.yyyy"")
"),"02.11.2026")</f>
        <v>02.11.2026</v>
      </c>
      <c r="B66" s="8" t="s">
        <v>131</v>
      </c>
      <c r="C66" s="24" t="str">
        <f t="array" ref="C66">IFERROR(INDEX(Base!I:I,MATCH(B66,Base!A:A,0)),"Nome do Cliente")
</f>
        <v>Daniel Sampaio</v>
      </c>
      <c r="D66" s="79" t="str">
        <f t="array" ref="D66">IFERROR(INDEX(Base!G:G,MATCH(B66,Base!A:A,0)),"Modelo da Cond.")</f>
        <v>AJ052TN1DKH/EA</v>
      </c>
      <c r="E66" s="79" t="str">
        <f t="array" ref="E66">IFERROR(INDEX(Base!H:H,MATCH(B66,Base!A:A,0)),"N° Serial")</f>
        <v>M000</v>
      </c>
      <c r="F66" s="79">
        <f t="shared" si="1"/>
        <v>67</v>
      </c>
      <c r="G66" s="11" t="s">
        <v>35</v>
      </c>
      <c r="H66" s="80" t="b">
        <v>0</v>
      </c>
      <c r="I66" s="81"/>
      <c r="J66" s="82"/>
      <c r="K66" s="60"/>
      <c r="L66" s="83" t="b">
        <v>0</v>
      </c>
      <c r="M66" s="84"/>
      <c r="N66" s="80" t="b">
        <v>0</v>
      </c>
      <c r="O66" s="82"/>
      <c r="P66" s="14"/>
      <c r="Q66" s="82"/>
      <c r="R66" s="82"/>
      <c r="S66" s="84"/>
      <c r="T66" s="85"/>
      <c r="U66" s="20"/>
      <c r="V66" s="86"/>
    </row>
    <row r="67" ht="22.5" customHeight="1">
      <c r="A67" s="78" t="str">
        <f>IFERROR(__xludf.DUMMYFUNCTION("IFERROR(TO_TEXT(INDEX(Base!E:E, MATCH(B67, Base!A:A, 0))), ""mm.dd.yyyy"")
"),"02.12.2026")</f>
        <v>02.12.2026</v>
      </c>
      <c r="B67" s="90" t="s">
        <v>132</v>
      </c>
      <c r="C67" s="24" t="str">
        <f t="array" ref="C67">IFERROR(INDEX(Base!I:I,MATCH(B67,Base!A:A,0)),"Nome do Cliente")
</f>
        <v>João Luis Gondim Rodrigue</v>
      </c>
      <c r="D67" s="79" t="str">
        <f t="array" ref="D67">IFERROR(INDEX(Base!G:G,MATCH(B67,Base!A:A,0)),"Modelo da Cond.")</f>
        <v>AC024DXADKG/AZ</v>
      </c>
      <c r="E67" s="79" t="str">
        <f t="array" ref="E67">IFERROR(INDEX(Base!H:H,MATCH(B67,Base!A:A,0)),"N° Serial")</f>
        <v>M000</v>
      </c>
      <c r="F67" s="79">
        <f t="shared" si="1"/>
        <v>66</v>
      </c>
      <c r="G67" s="11" t="s">
        <v>35</v>
      </c>
      <c r="H67" s="80" t="b">
        <v>0</v>
      </c>
      <c r="I67" s="81"/>
      <c r="J67" s="82"/>
      <c r="K67" s="60"/>
      <c r="L67" s="83" t="b">
        <v>0</v>
      </c>
      <c r="M67" s="84"/>
      <c r="N67" s="80" t="b">
        <v>0</v>
      </c>
      <c r="O67" s="82"/>
      <c r="P67" s="14"/>
      <c r="Q67" s="82"/>
      <c r="R67" s="82"/>
      <c r="S67" s="84"/>
      <c r="T67" s="85"/>
      <c r="U67" s="20"/>
      <c r="V67" s="86"/>
    </row>
    <row r="68" ht="22.5" customHeight="1">
      <c r="A68" s="78" t="str">
        <f>IFERROR(__xludf.DUMMYFUNCTION("IFERROR(TO_TEXT(INDEX(Base!E:E, MATCH(B68, Base!A:A, 0))), ""mm.dd.yyyy"")
"),"02.12.2026")</f>
        <v>02.12.2026</v>
      </c>
      <c r="B68" s="90" t="s">
        <v>133</v>
      </c>
      <c r="C68" s="24" t="str">
        <f t="array" ref="C68">IFERROR(INDEX(Base!I:I,MATCH(B68,Base!A:A,0)),"Nome do Cliente")
</f>
        <v>LUCIMAR DOS SANTOS FERREIRA</v>
      </c>
      <c r="D68" s="79" t="str">
        <f t="array" ref="D68">IFERROR(INDEX(Base!G:G,MATCH(B68,Base!A:A,0)),"Modelo da Cond.")</f>
        <v>AJ050AXJ2KH/AZ</v>
      </c>
      <c r="E68" s="79" t="str">
        <f t="array" ref="E68">IFERROR(INDEX(Base!H:H,MATCH(B68,Base!A:A,0)),"N° Serial")</f>
        <v>M000</v>
      </c>
      <c r="F68" s="79">
        <f t="shared" si="1"/>
        <v>66</v>
      </c>
      <c r="G68" s="11" t="s">
        <v>35</v>
      </c>
      <c r="H68" s="80" t="b">
        <v>0</v>
      </c>
      <c r="I68" s="81"/>
      <c r="J68" s="82"/>
      <c r="K68" s="60"/>
      <c r="L68" s="83" t="b">
        <v>0</v>
      </c>
      <c r="M68" s="84"/>
      <c r="N68" s="80" t="b">
        <v>0</v>
      </c>
      <c r="O68" s="82"/>
      <c r="P68" s="14"/>
      <c r="Q68" s="82"/>
      <c r="R68" s="82"/>
      <c r="S68" s="84"/>
      <c r="T68" s="85"/>
      <c r="U68" s="20"/>
      <c r="V68" s="86"/>
    </row>
    <row r="69" ht="22.5" customHeight="1">
      <c r="A69" s="78" t="str">
        <f>IFERROR(__xludf.DUMMYFUNCTION("IFERROR(TO_TEXT(INDEX(Base!E:E, MATCH(B69, Base!A:A, 0))), ""mm.dd.yyyy"")
"),"02.12.2026")</f>
        <v>02.12.2026</v>
      </c>
      <c r="B69" s="8" t="s">
        <v>134</v>
      </c>
      <c r="C69" s="24" t="str">
        <f t="array" ref="C69">IFERROR(INDEX(Base!I:I,MATCH(B69,Base!A:A,0)),"Nome do Cliente")
</f>
        <v>Roberta Marques</v>
      </c>
      <c r="D69" s="79" t="str">
        <f t="array" ref="D69">IFERROR(INDEX(Base!G:G,MATCH(B69,Base!A:A,0)),"Modelo da Cond.")</f>
        <v>AJ025ANAPKH/AZ</v>
      </c>
      <c r="E69" s="79" t="str">
        <f t="array" ref="E69">IFERROR(INDEX(Base!H:H,MATCH(B69,Base!A:A,0)),"N° Serial")</f>
        <v>M000</v>
      </c>
      <c r="F69" s="79">
        <f t="shared" si="1"/>
        <v>66</v>
      </c>
      <c r="G69" s="11" t="s">
        <v>29</v>
      </c>
      <c r="H69" s="80" t="b">
        <v>0</v>
      </c>
      <c r="I69" s="81"/>
      <c r="J69" s="82"/>
      <c r="K69" s="60"/>
      <c r="L69" s="83" t="b">
        <v>0</v>
      </c>
      <c r="M69" s="84"/>
      <c r="N69" s="80" t="b">
        <v>0</v>
      </c>
      <c r="O69" s="82"/>
      <c r="P69" s="14"/>
      <c r="Q69" s="82"/>
      <c r="R69" s="82"/>
      <c r="S69" s="84"/>
      <c r="T69" s="85"/>
      <c r="U69" s="20"/>
      <c r="V69" s="86"/>
    </row>
    <row r="70" ht="22.5" customHeight="1">
      <c r="A70" s="78" t="str">
        <f>IFERROR(__xludf.DUMMYFUNCTION("IFERROR(TO_TEXT(INDEX(Base!E:E, MATCH(B70, Base!A:A, 0))), ""mm.dd.yyyy"")
"),"02.12.2026")</f>
        <v>02.12.2026</v>
      </c>
      <c r="B70" s="8" t="s">
        <v>135</v>
      </c>
      <c r="C70" s="24" t="str">
        <f t="array" ref="C70">IFERROR(INDEX(Base!I:I,MATCH(B70,Base!A:A,0)),"Nome do Cliente")
</f>
        <v>JARBAS LONGARAY GONCALVES</v>
      </c>
      <c r="D70" s="79" t="str">
        <f t="array" ref="D70">IFERROR(INDEX(Base!G:G,MATCH(B70,Base!A:A,0)),"Modelo da Cond.")</f>
        <v>AJ068AXJ3KH/AZ</v>
      </c>
      <c r="E70" s="79" t="str">
        <f t="array" ref="E70">IFERROR(INDEX(Base!H:H,MATCH(B70,Base!A:A,0)),"N° Serial")</f>
        <v>M000</v>
      </c>
      <c r="F70" s="79">
        <f t="shared" si="1"/>
        <v>66</v>
      </c>
      <c r="G70" s="11" t="s">
        <v>23</v>
      </c>
      <c r="H70" s="80" t="b">
        <v>1</v>
      </c>
      <c r="I70" s="81">
        <v>46104.0</v>
      </c>
      <c r="J70" s="82" t="s">
        <v>24</v>
      </c>
      <c r="K70" s="11" t="s">
        <v>23</v>
      </c>
      <c r="L70" s="83" t="b">
        <v>0</v>
      </c>
      <c r="M70" s="84"/>
      <c r="N70" s="80" t="b">
        <v>0</v>
      </c>
      <c r="O70" s="82"/>
      <c r="P70" s="14"/>
      <c r="Q70" s="82"/>
      <c r="R70" s="82"/>
      <c r="S70" s="84"/>
      <c r="T70" s="85"/>
      <c r="U70" s="20"/>
      <c r="V70" s="86" t="s">
        <v>136</v>
      </c>
    </row>
    <row r="71" ht="22.5" customHeight="1">
      <c r="A71" s="78" t="str">
        <f>IFERROR(__xludf.DUMMYFUNCTION("IFERROR(TO_TEXT(INDEX(Base!E:E, MATCH(B71, Base!A:A, 0))), ""mm.dd.yyyy"")
"),"02.26.2026")</f>
        <v>02.26.2026</v>
      </c>
      <c r="B71" s="8" t="s">
        <v>137</v>
      </c>
      <c r="C71" s="24" t="str">
        <f t="array" ref="C71">IFERROR(INDEX(Base!I:I,MATCH(B71,Base!A:A,0)),"Nome do Cliente")
</f>
        <v>JARBAS LONGARAY GONCALVES</v>
      </c>
      <c r="D71" s="79" t="str">
        <f t="array" ref="D71">IFERROR(INDEX(Base!G:G,MATCH(B71,Base!A:A,0)),"Modelo da Cond.")</f>
        <v>AJ068AXJ3KH/AZ</v>
      </c>
      <c r="E71" s="79" t="str">
        <f t="array" ref="E71">IFERROR(INDEX(Base!H:H,MATCH(B71,Base!A:A,0)),"N° Serial")</f>
        <v>M000</v>
      </c>
      <c r="F71" s="79">
        <f t="shared" si="1"/>
        <v>52</v>
      </c>
      <c r="G71" s="11" t="s">
        <v>23</v>
      </c>
      <c r="H71" s="80" t="b">
        <v>1</v>
      </c>
      <c r="I71" s="81">
        <v>46104.0</v>
      </c>
      <c r="J71" s="82" t="s">
        <v>24</v>
      </c>
      <c r="K71" s="60"/>
      <c r="L71" s="83" t="b">
        <v>0</v>
      </c>
      <c r="M71" s="84"/>
      <c r="N71" s="80" t="b">
        <v>0</v>
      </c>
      <c r="O71" s="88"/>
      <c r="P71" s="14"/>
      <c r="Q71" s="88"/>
      <c r="R71" s="88"/>
      <c r="S71" s="84"/>
      <c r="T71" s="85"/>
      <c r="U71" s="20"/>
      <c r="V71" s="86" t="s">
        <v>138</v>
      </c>
    </row>
    <row r="72" ht="22.5" customHeight="1">
      <c r="A72" s="78" t="str">
        <f>IFERROR(__xludf.DUMMYFUNCTION("IFERROR(TO_TEXT(INDEX(Base!E:E, MATCH(B72, Base!A:A, 0))), ""mm.dd.yyyy"")
"),"02.12.2026")</f>
        <v>02.12.2026</v>
      </c>
      <c r="B72" s="8" t="s">
        <v>139</v>
      </c>
      <c r="C72" s="24" t="str">
        <f t="array" ref="C72">IFERROR(INDEX(Base!I:I,MATCH(B72,Base!A:A,0)),"Nome do Cliente")
</f>
        <v>Gustavo Goulart Lemos</v>
      </c>
      <c r="D72" s="79" t="str">
        <f t="array" ref="D72">IFERROR(INDEX(Base!G:G,MATCH(B72,Base!A:A,0)),"Modelo da Cond.")</f>
        <v>AC036TXADKC/AZ</v>
      </c>
      <c r="E72" s="79" t="str">
        <f t="array" ref="E72">IFERROR(INDEX(Base!H:H,MATCH(B72,Base!A:A,0)),"N° Serial")</f>
        <v>M000</v>
      </c>
      <c r="F72" s="79">
        <f t="shared" si="1"/>
        <v>66</v>
      </c>
      <c r="G72" s="11" t="s">
        <v>23</v>
      </c>
      <c r="H72" s="80" t="b">
        <v>0</v>
      </c>
      <c r="I72" s="81"/>
      <c r="J72" s="82"/>
      <c r="K72" s="60"/>
      <c r="L72" s="83" t="b">
        <v>0</v>
      </c>
      <c r="M72" s="84"/>
      <c r="N72" s="80" t="b">
        <v>0</v>
      </c>
      <c r="O72" s="82"/>
      <c r="P72" s="14"/>
      <c r="Q72" s="82"/>
      <c r="R72" s="82"/>
      <c r="S72" s="84"/>
      <c r="T72" s="85"/>
      <c r="U72" s="20"/>
      <c r="V72" s="86"/>
    </row>
    <row r="73" ht="22.5" customHeight="1">
      <c r="A73" s="78" t="str">
        <f>IFERROR(__xludf.DUMMYFUNCTION("IFERROR(TO_TEXT(INDEX(Base!E:E, MATCH(B73, Base!A:A, 0))), ""mm.dd.yyyy"")
"),"02.13.2026")</f>
        <v>02.13.2026</v>
      </c>
      <c r="B73" s="8" t="s">
        <v>140</v>
      </c>
      <c r="C73" s="24" t="str">
        <f t="array" ref="C73">IFERROR(INDEX(Base!I:I,MATCH(B73,Base!A:A,0)),"Nome do Cliente")
</f>
        <v>PEDRO ALEXANDRE</v>
      </c>
      <c r="D73" s="79" t="str">
        <f t="array" ref="D73">IFERROR(INDEX(Base!G:G,MATCH(B73,Base!A:A,0)),"Modelo da Cond.")</f>
        <v>AJ080AXJ4KH/AZ</v>
      </c>
      <c r="E73" s="79" t="str">
        <f t="array" ref="E73">IFERROR(INDEX(Base!H:H,MATCH(B73,Base!A:A,0)),"N° Serial")</f>
        <v>02TMPXBR900178V</v>
      </c>
      <c r="F73" s="79">
        <f t="shared" si="1"/>
        <v>65</v>
      </c>
      <c r="G73" s="11" t="s">
        <v>23</v>
      </c>
      <c r="H73" s="80" t="b">
        <v>0</v>
      </c>
      <c r="I73" s="81"/>
      <c r="J73" s="82"/>
      <c r="K73" s="60"/>
      <c r="L73" s="83" t="b">
        <v>0</v>
      </c>
      <c r="M73" s="84"/>
      <c r="N73" s="80" t="b">
        <v>0</v>
      </c>
      <c r="O73" s="82"/>
      <c r="P73" s="14"/>
      <c r="Q73" s="82"/>
      <c r="R73" s="82"/>
      <c r="S73" s="84"/>
      <c r="T73" s="85"/>
      <c r="U73" s="20"/>
      <c r="V73" s="86"/>
    </row>
    <row r="74" ht="22.5" customHeight="1">
      <c r="A74" s="78" t="str">
        <f>IFERROR(__xludf.DUMMYFUNCTION("IFERROR(TO_TEXT(INDEX(Base!E:E, MATCH(B74, Base!A:A, 0))), ""mm.dd.yyyy"")
"),"02.13.2026")</f>
        <v>02.13.2026</v>
      </c>
      <c r="B74" s="8" t="s">
        <v>141</v>
      </c>
      <c r="C74" s="24" t="str">
        <f t="array" ref="C74">IFERROR(INDEX(Base!I:I,MATCH(B74,Base!A:A,0)),"Nome do Cliente")
</f>
        <v>Luis Felipe Gradwol</v>
      </c>
      <c r="D74" s="79" t="str">
        <f t="array" ref="D74">IFERROR(INDEX(Base!G:G,MATCH(B74,Base!A:A,0)),"Modelo da Cond.")</f>
        <v>AJ025ANAPKH2AZ</v>
      </c>
      <c r="E74" s="79" t="str">
        <f t="array" ref="E74">IFERROR(INDEX(Base!H:H,MATCH(B74,Base!A:A,0)),"N° Serial")</f>
        <v>M000</v>
      </c>
      <c r="F74" s="79">
        <f t="shared" si="1"/>
        <v>65</v>
      </c>
      <c r="G74" s="11" t="s">
        <v>35</v>
      </c>
      <c r="H74" s="80" t="b">
        <v>0</v>
      </c>
      <c r="I74" s="81"/>
      <c r="J74" s="82"/>
      <c r="K74" s="60"/>
      <c r="L74" s="83" t="b">
        <v>0</v>
      </c>
      <c r="M74" s="84"/>
      <c r="N74" s="80" t="b">
        <v>0</v>
      </c>
      <c r="O74" s="82"/>
      <c r="P74" s="14"/>
      <c r="Q74" s="82"/>
      <c r="R74" s="82"/>
      <c r="S74" s="84"/>
      <c r="T74" s="85"/>
      <c r="U74" s="20"/>
      <c r="V74" s="86"/>
    </row>
    <row r="75" ht="22.5" customHeight="1">
      <c r="A75" s="78" t="str">
        <f>IFERROR(__xludf.DUMMYFUNCTION("IFERROR(TO_TEXT(INDEX(Base!E:E, MATCH(B75, Base!A:A, 0))), ""mm.dd.yyyy"")
"),"02.13.2026")</f>
        <v>02.13.2026</v>
      </c>
      <c r="B75" s="8" t="s">
        <v>142</v>
      </c>
      <c r="C75" s="61" t="str">
        <f t="array" ref="C75">IFERROR(INDEX(Base!I:I,MATCH(B75,Base!A:A,0)),"Nome do Cliente")
</f>
        <v>Sérgio Lima</v>
      </c>
      <c r="D75" s="79" t="str">
        <f t="array" ref="D75">IFERROR(INDEX(Base!G:G,MATCH(B75,Base!A:A,0)),"Modelo da Cond.")</f>
        <v>AJ068AXJ3KH/AZ</v>
      </c>
      <c r="E75" s="79" t="str">
        <f t="array" ref="E75">IFERROR(INDEX(Base!H:H,MATCH(B75,Base!A:A,0)),"N° Serial")</f>
        <v>M000</v>
      </c>
      <c r="F75" s="79">
        <f t="shared" si="1"/>
        <v>65</v>
      </c>
      <c r="G75" s="11" t="s">
        <v>23</v>
      </c>
      <c r="H75" s="80" t="b">
        <v>1</v>
      </c>
      <c r="I75" s="81">
        <v>46114.0</v>
      </c>
      <c r="J75" s="82" t="s">
        <v>23</v>
      </c>
      <c r="K75" s="11" t="s">
        <v>23</v>
      </c>
      <c r="L75" s="83" t="b">
        <v>0</v>
      </c>
      <c r="M75" s="84"/>
      <c r="N75" s="80" t="b">
        <v>1</v>
      </c>
      <c r="O75" s="82" t="s">
        <v>24</v>
      </c>
      <c r="P75" s="14"/>
      <c r="Q75" s="82" t="s">
        <v>45</v>
      </c>
      <c r="R75" s="82" t="s">
        <v>44</v>
      </c>
      <c r="S75" s="84"/>
      <c r="T75" s="85"/>
      <c r="U75" s="20"/>
      <c r="V75" s="86"/>
    </row>
    <row r="76" ht="22.5" customHeight="1">
      <c r="A76" s="78" t="str">
        <f>IFERROR(__xludf.DUMMYFUNCTION("IFERROR(TO_TEXT(INDEX(Base!E:E, MATCH(B76, Base!A:A, 0))), ""mm.dd.yyyy"")
"),"02.23.2026")</f>
        <v>02.23.2026</v>
      </c>
      <c r="B76" s="8" t="s">
        <v>143</v>
      </c>
      <c r="C76" s="24" t="str">
        <f t="array" ref="C76">IFERROR(INDEX(Base!I:I,MATCH(B76,Base!A:A,0)),"Nome do Cliente")
</f>
        <v>Jose Fernando Do Amaral Nunes Borg</v>
      </c>
      <c r="D76" s="79" t="str">
        <f t="array" ref="D76">IFERROR(INDEX(Base!G:G,MATCH(B76,Base!A:A,0)),"Modelo da Cond.")</f>
        <v>AJ050ANAPKHSAZ</v>
      </c>
      <c r="E76" s="79" t="str">
        <f t="array" ref="E76">IFERROR(INDEX(Base!H:H,MATCH(B76,Base!A:A,0)),"N° Serial")</f>
        <v>M000</v>
      </c>
      <c r="F76" s="79">
        <f t="shared" si="1"/>
        <v>55</v>
      </c>
      <c r="G76" s="11" t="s">
        <v>23</v>
      </c>
      <c r="H76" s="80" t="b">
        <v>0</v>
      </c>
      <c r="I76" s="81"/>
      <c r="J76" s="82"/>
      <c r="K76" s="60"/>
      <c r="L76" s="83" t="b">
        <v>0</v>
      </c>
      <c r="M76" s="84"/>
      <c r="N76" s="80" t="b">
        <v>0</v>
      </c>
      <c r="O76" s="82"/>
      <c r="P76" s="14"/>
      <c r="Q76" s="82"/>
      <c r="R76" s="82"/>
      <c r="S76" s="84"/>
      <c r="T76" s="85"/>
      <c r="U76" s="20"/>
      <c r="V76" s="86"/>
    </row>
    <row r="77" ht="22.5" customHeight="1">
      <c r="A77" s="78" t="str">
        <f>IFERROR(__xludf.DUMMYFUNCTION("IFERROR(TO_TEXT(INDEX(Base!E:E, MATCH(B77, Base!A:A, 0))), ""mm.dd.yyyy"")
"),"02.24.2026")</f>
        <v>02.24.2026</v>
      </c>
      <c r="B77" s="8" t="s">
        <v>144</v>
      </c>
      <c r="C77" s="24" t="str">
        <f t="array" ref="C77">IFERROR(INDEX(Base!I:I,MATCH(B77,Base!A:A,0)),"Nome do Cliente")
</f>
        <v>Vinicius Moraes gomes</v>
      </c>
      <c r="D77" s="79" t="str">
        <f t="array" ref="D77">IFERROR(INDEX(Base!G:G,MATCH(B77,Base!A:A,0)),"Modelo da Cond.")</f>
        <v>AC048DXADKG/AZ</v>
      </c>
      <c r="E77" s="79" t="str">
        <f t="array" ref="E77">IFERROR(INDEX(Base!H:H,MATCH(B77,Base!A:A,0)),"N° Serial")</f>
        <v>030YPXBY800078H</v>
      </c>
      <c r="F77" s="79">
        <f t="shared" si="1"/>
        <v>54</v>
      </c>
      <c r="G77" s="11" t="s">
        <v>23</v>
      </c>
      <c r="H77" s="80" t="b">
        <v>1</v>
      </c>
      <c r="I77" s="81">
        <v>46111.0</v>
      </c>
      <c r="J77" s="82" t="s">
        <v>23</v>
      </c>
      <c r="K77" s="11" t="s">
        <v>23</v>
      </c>
      <c r="L77" s="83" t="b">
        <v>0</v>
      </c>
      <c r="M77" s="84"/>
      <c r="N77" s="80" t="b">
        <v>1</v>
      </c>
      <c r="O77" s="82" t="s">
        <v>24</v>
      </c>
      <c r="P77" s="14" t="s">
        <v>24</v>
      </c>
      <c r="Q77" s="82" t="s">
        <v>45</v>
      </c>
      <c r="R77" s="82" t="s">
        <v>44</v>
      </c>
      <c r="S77" s="84"/>
      <c r="T77" s="85"/>
      <c r="U77" s="20"/>
      <c r="V77" s="86" t="s">
        <v>145</v>
      </c>
    </row>
    <row r="78" ht="22.5" customHeight="1">
      <c r="A78" s="78" t="str">
        <f>IFERROR(__xludf.DUMMYFUNCTION("IFERROR(TO_TEXT(INDEX(Base!E:E, MATCH(B78, Base!A:A, 0))), ""mm.dd.yyyy"")
"),"02.24.2026")</f>
        <v>02.24.2026</v>
      </c>
      <c r="B78" s="8" t="s">
        <v>146</v>
      </c>
      <c r="C78" s="24" t="str">
        <f t="array" ref="C78">IFERROR(INDEX(Base!I:I,MATCH(B78,Base!A:A,0)),"Nome do Cliente")
</f>
        <v>Lisiane Sguario</v>
      </c>
      <c r="D78" s="79" t="str">
        <f t="array" ref="D78">IFERROR(INDEX(Base!G:G,MATCH(B78,Base!A:A,0)),"Modelo da Cond.")</f>
        <v>AJ026TN1DKH/EA</v>
      </c>
      <c r="E78" s="79" t="str">
        <f t="array" ref="E78">IFERROR(INDEX(Base!H:H,MATCH(B78,Base!A:A,0)),"N° Serial")</f>
        <v>M000</v>
      </c>
      <c r="F78" s="79">
        <f t="shared" si="1"/>
        <v>54</v>
      </c>
      <c r="G78" s="11" t="s">
        <v>23</v>
      </c>
      <c r="H78" s="80" t="b">
        <v>0</v>
      </c>
      <c r="I78" s="81"/>
      <c r="J78" s="82"/>
      <c r="K78" s="60"/>
      <c r="L78" s="83" t="b">
        <v>0</v>
      </c>
      <c r="M78" s="84"/>
      <c r="N78" s="80" t="b">
        <v>0</v>
      </c>
      <c r="O78" s="82"/>
      <c r="P78" s="14"/>
      <c r="Q78" s="82"/>
      <c r="R78" s="82"/>
      <c r="S78" s="84"/>
      <c r="T78" s="85"/>
      <c r="U78" s="20"/>
      <c r="V78" s="86"/>
    </row>
    <row r="79" ht="22.5" customHeight="1">
      <c r="A79" s="78" t="str">
        <f>IFERROR(__xludf.DUMMYFUNCTION("IFERROR(TO_TEXT(INDEX(Base!E:E, MATCH(B79, Base!A:A, 0))), ""mm.dd.yyyy"")
"),"02.26.2026")</f>
        <v>02.26.2026</v>
      </c>
      <c r="B79" s="8" t="s">
        <v>147</v>
      </c>
      <c r="C79" s="24" t="str">
        <f t="array" ref="C79">IFERROR(INDEX(Base!I:I,MATCH(B79,Base!A:A,0)),"Nome do Cliente")
</f>
        <v>Mauro Ike</v>
      </c>
      <c r="D79" s="79" t="str">
        <f t="array" ref="D79">IFERROR(INDEX(Base!G:G,MATCH(B79,Base!A:A,0)),"Modelo da Cond.")</f>
        <v>AJ025ANAPKH2AZ</v>
      </c>
      <c r="E79" s="79" t="str">
        <f t="array" ref="E79">IFERROR(INDEX(Base!H:H,MATCH(B79,Base!A:A,0)),"N° Serial")</f>
        <v>M000</v>
      </c>
      <c r="F79" s="79">
        <f t="shared" si="1"/>
        <v>52</v>
      </c>
      <c r="G79" s="11" t="s">
        <v>23</v>
      </c>
      <c r="H79" s="80" t="b">
        <v>0</v>
      </c>
      <c r="I79" s="81"/>
      <c r="J79" s="82"/>
      <c r="K79" s="60"/>
      <c r="L79" s="83" t="b">
        <v>0</v>
      </c>
      <c r="M79" s="84"/>
      <c r="N79" s="80" t="b">
        <v>0</v>
      </c>
      <c r="O79" s="82"/>
      <c r="P79" s="14"/>
      <c r="Q79" s="82"/>
      <c r="R79" s="82"/>
      <c r="S79" s="84"/>
      <c r="T79" s="85"/>
      <c r="U79" s="20"/>
      <c r="V79" s="86"/>
    </row>
    <row r="80" ht="22.5" customHeight="1">
      <c r="A80" s="78" t="str">
        <f>IFERROR(__xludf.DUMMYFUNCTION("IFERROR(TO_TEXT(INDEX(Base!E:E, MATCH(B80, Base!A:A, 0))), ""mm.dd.yyyy"")
"),"02.26.2026")</f>
        <v>02.26.2026</v>
      </c>
      <c r="B80" s="8" t="s">
        <v>148</v>
      </c>
      <c r="C80" s="24" t="str">
        <f t="array" ref="C80">IFERROR(INDEX(Base!I:I,MATCH(B80,Base!A:A,0)),"Nome do Cliente")
</f>
        <v>Diego Parpinelli</v>
      </c>
      <c r="D80" s="79" t="str">
        <f t="array" ref="D80">IFERROR(INDEX(Base!G:G,MATCH(B80,Base!A:A,0)),"Modelo da Cond.")</f>
        <v>AJ050AXJ2KH/AZ</v>
      </c>
      <c r="E80" s="79" t="str">
        <f t="array" ref="E80">IFERROR(INDEX(Base!H:H,MATCH(B80,Base!A:A,0)),"N° Serial")</f>
        <v>02TGPXBX200211R</v>
      </c>
      <c r="F80" s="79">
        <f t="shared" si="1"/>
        <v>52</v>
      </c>
      <c r="G80" s="11" t="s">
        <v>23</v>
      </c>
      <c r="H80" s="80" t="b">
        <v>0</v>
      </c>
      <c r="I80" s="81"/>
      <c r="J80" s="82"/>
      <c r="K80" s="60"/>
      <c r="L80" s="83" t="b">
        <v>0</v>
      </c>
      <c r="M80" s="84"/>
      <c r="N80" s="80" t="b">
        <v>0</v>
      </c>
      <c r="O80" s="82"/>
      <c r="P80" s="14"/>
      <c r="Q80" s="82"/>
      <c r="R80" s="82"/>
      <c r="S80" s="84"/>
      <c r="T80" s="85"/>
      <c r="U80" s="20"/>
      <c r="V80" s="86"/>
    </row>
    <row r="81" ht="22.5" customHeight="1">
      <c r="A81" s="78" t="str">
        <f>IFERROR(__xludf.DUMMYFUNCTION("IFERROR(TO_TEXT(INDEX(Base!E:E, MATCH(B81, Base!A:A, 0))), ""mm.dd.yyyy"")
"),"03.04.2026")</f>
        <v>03.04.2026</v>
      </c>
      <c r="B81" s="8" t="s">
        <v>149</v>
      </c>
      <c r="C81" s="22" t="str">
        <f t="array" ref="C81">IFERROR(INDEX(Base!I:I,MATCH(B81,Base!A:A,0)),"Nome do Cliente")
</f>
        <v>Fabiane F. Cauneto</v>
      </c>
      <c r="D81" s="79" t="str">
        <f t="array" ref="D81">IFERROR(INDEX(Base!G:G,MATCH(B81,Base!A:A,0)),"Modelo da Cond.")</f>
        <v>AJ100AXJ5KH/AZ</v>
      </c>
      <c r="E81" s="79" t="str">
        <f t="array" ref="E81">IFERROR(INDEX(Base!H:H,MATCH(B81,Base!A:A,0)),"N° Serial")</f>
        <v>BLK6P3CX300023L</v>
      </c>
      <c r="F81" s="79">
        <f t="shared" si="1"/>
        <v>46</v>
      </c>
      <c r="G81" s="11" t="s">
        <v>23</v>
      </c>
      <c r="H81" s="80" t="b">
        <v>1</v>
      </c>
      <c r="I81" s="81">
        <v>46125.0</v>
      </c>
      <c r="J81" s="82"/>
      <c r="K81" s="60"/>
      <c r="L81" s="83" t="b">
        <v>0</v>
      </c>
      <c r="M81" s="84"/>
      <c r="N81" s="80" t="b">
        <v>0</v>
      </c>
      <c r="O81" s="82"/>
      <c r="P81" s="14"/>
      <c r="Q81" s="82"/>
      <c r="R81" s="82"/>
      <c r="S81" s="84"/>
      <c r="T81" s="85"/>
      <c r="U81" s="20"/>
      <c r="V81" s="86"/>
    </row>
    <row r="82" ht="22.5" customHeight="1">
      <c r="A82" s="78" t="str">
        <f>IFERROR(__xludf.DUMMYFUNCTION("IFERROR(TO_TEXT(INDEX(Base!E:E, MATCH(B82, Base!A:A, 0))), ""mm.dd.yyyy"")
"),"03.04.2026")</f>
        <v>03.04.2026</v>
      </c>
      <c r="B82" s="8" t="s">
        <v>150</v>
      </c>
      <c r="C82" s="22" t="str">
        <f t="array" ref="C82">IFERROR(INDEX(Base!I:I,MATCH(B82,Base!A:A,0)),"Nome do Cliente")
</f>
        <v>Fabiane F. Cauneto</v>
      </c>
      <c r="D82" s="79" t="str">
        <f t="array" ref="D82">IFERROR(INDEX(Base!G:G,MATCH(B82,Base!A:A,0)),"Modelo da Cond.")</f>
        <v>AJ100AXJ5KH/AZ</v>
      </c>
      <c r="E82" s="79" t="str">
        <f t="array" ref="E82">IFERROR(INDEX(Base!H:H,MATCH(B82,Base!A:A,0)),"N° Serial")</f>
        <v>BLK6P3CWC00059V</v>
      </c>
      <c r="F82" s="79">
        <f t="shared" si="1"/>
        <v>46</v>
      </c>
      <c r="G82" s="11" t="s">
        <v>23</v>
      </c>
      <c r="H82" s="80" t="b">
        <v>1</v>
      </c>
      <c r="I82" s="81">
        <v>46125.0</v>
      </c>
      <c r="J82" s="82"/>
      <c r="K82" s="60"/>
      <c r="L82" s="83" t="b">
        <v>0</v>
      </c>
      <c r="M82" s="84"/>
      <c r="N82" s="80" t="b">
        <v>0</v>
      </c>
      <c r="O82" s="82"/>
      <c r="P82" s="14"/>
      <c r="Q82" s="82"/>
      <c r="R82" s="82"/>
      <c r="S82" s="84"/>
      <c r="T82" s="85"/>
      <c r="U82" s="20"/>
      <c r="V82" s="86"/>
    </row>
    <row r="83" ht="22.5" customHeight="1">
      <c r="A83" s="78" t="str">
        <f>IFERROR(__xludf.DUMMYFUNCTION("IFERROR(TO_TEXT(INDEX(Base!E:E, MATCH(B83, Base!A:A, 0))), ""mm.dd.yyyy"")
"),"03.04.2026")</f>
        <v>03.04.2026</v>
      </c>
      <c r="B83" s="8" t="s">
        <v>151</v>
      </c>
      <c r="C83" s="24" t="str">
        <f t="array" ref="C83">IFERROR(INDEX(Base!I:I,MATCH(B83,Base!A:A,0)),"Nome do Cliente")
</f>
        <v>Tania Popow Evangelista</v>
      </c>
      <c r="D83" s="79" t="str">
        <f t="array" ref="D83">IFERROR(INDEX(Base!G:G,MATCH(B83,Base!A:A,0)),"Modelo da Cond.")</f>
        <v>AC024DN1DKG/AZ</v>
      </c>
      <c r="E83" s="79" t="str">
        <f t="array" ref="E83">IFERROR(INDEX(Base!H:H,MATCH(B83,Base!A:A,0)),"N° Serial")</f>
        <v>030EPXAY600061E</v>
      </c>
      <c r="F83" s="79">
        <f t="shared" si="1"/>
        <v>46</v>
      </c>
      <c r="G83" s="11" t="s">
        <v>23</v>
      </c>
      <c r="H83" s="80" t="b">
        <v>0</v>
      </c>
      <c r="I83" s="81"/>
      <c r="J83" s="82"/>
      <c r="K83" s="60"/>
      <c r="L83" s="83" t="b">
        <v>0</v>
      </c>
      <c r="M83" s="84"/>
      <c r="N83" s="80" t="b">
        <v>0</v>
      </c>
      <c r="O83" s="82"/>
      <c r="P83" s="14"/>
      <c r="Q83" s="82"/>
      <c r="R83" s="82"/>
      <c r="S83" s="84"/>
      <c r="T83" s="85"/>
      <c r="U83" s="20"/>
      <c r="V83" s="86"/>
    </row>
    <row r="84" ht="22.5" customHeight="1">
      <c r="A84" s="78" t="str">
        <f>IFERROR(__xludf.DUMMYFUNCTION("IFERROR(TO_TEXT(INDEX(Base!E:E, MATCH(B84, Base!A:A, 0))), ""mm.dd.yyyy"")
"),"03.05.2026")</f>
        <v>03.05.2026</v>
      </c>
      <c r="B84" s="8" t="s">
        <v>152</v>
      </c>
      <c r="C84" s="61" t="str">
        <f t="array" ref="C84">IFERROR(INDEX(Base!I:I,MATCH(B84,Base!A:A,0)),"Nome do Cliente")
</f>
        <v>MARIA DE FATIMA GIRARD REI</v>
      </c>
      <c r="D84" s="79" t="str">
        <f t="array" ref="D84">IFERROR(INDEX(Base!G:G,MATCH(B84,Base!A:A,0)),"Modelo da Cond.")</f>
        <v>AJ100AXJ5KH/AZ</v>
      </c>
      <c r="E84" s="79" t="str">
        <f t="array" ref="E84">IFERROR(INDEX(Base!H:H,MATCH(B84,Base!A:A,0)),"N° Serial")</f>
        <v>M000</v>
      </c>
      <c r="F84" s="79">
        <f t="shared" si="1"/>
        <v>45</v>
      </c>
      <c r="G84" s="11" t="s">
        <v>23</v>
      </c>
      <c r="H84" s="80" t="b">
        <v>1</v>
      </c>
      <c r="I84" s="81">
        <v>46105.0</v>
      </c>
      <c r="J84" s="82" t="s">
        <v>23</v>
      </c>
      <c r="K84" s="11" t="s">
        <v>23</v>
      </c>
      <c r="L84" s="83" t="b">
        <v>0</v>
      </c>
      <c r="M84" s="84"/>
      <c r="N84" s="80" t="b">
        <v>1</v>
      </c>
      <c r="O84" s="82" t="s">
        <v>24</v>
      </c>
      <c r="P84" s="14" t="s">
        <v>24</v>
      </c>
      <c r="Q84" s="82" t="s">
        <v>45</v>
      </c>
      <c r="R84" s="82" t="s">
        <v>44</v>
      </c>
      <c r="S84" s="84"/>
      <c r="T84" s="85"/>
      <c r="U84" s="20"/>
      <c r="V84" s="86" t="s">
        <v>153</v>
      </c>
    </row>
    <row r="85" ht="22.5" customHeight="1">
      <c r="A85" s="78" t="str">
        <f>IFERROR(__xludf.DUMMYFUNCTION("IFERROR(TO_TEXT(INDEX(Base!E:E, MATCH(B85, Base!A:A, 0))), ""mm.dd.yyyy"")
"),"03.05.2026")</f>
        <v>03.05.2026</v>
      </c>
      <c r="B85" s="8" t="s">
        <v>154</v>
      </c>
      <c r="C85" s="24" t="str">
        <f t="array" ref="C85">IFERROR(INDEX(Base!I:I,MATCH(B85,Base!A:A,0)),"Nome do Cliente")
</f>
        <v>Joyce Pereira Santos</v>
      </c>
      <c r="D85" s="79" t="str">
        <f t="array" ref="D85">IFERROR(INDEX(Base!G:G,MATCH(B85,Base!A:A,0)),"Modelo da Cond.")</f>
        <v>AJ050ANAPKH2AZ</v>
      </c>
      <c r="E85" s="79" t="str">
        <f t="array" ref="E85">IFERROR(INDEX(Base!H:H,MATCH(B85,Base!A:A,0)),"N° Serial")</f>
        <v>M000</v>
      </c>
      <c r="F85" s="79">
        <f t="shared" si="1"/>
        <v>45</v>
      </c>
      <c r="G85" s="11" t="s">
        <v>23</v>
      </c>
      <c r="H85" s="80" t="b">
        <v>0</v>
      </c>
      <c r="I85" s="81"/>
      <c r="J85" s="82"/>
      <c r="K85" s="60"/>
      <c r="L85" s="83" t="b">
        <v>0</v>
      </c>
      <c r="M85" s="84"/>
      <c r="N85" s="80" t="b">
        <v>0</v>
      </c>
      <c r="O85" s="82"/>
      <c r="P85" s="14"/>
      <c r="Q85" s="82"/>
      <c r="R85" s="82"/>
      <c r="S85" s="84"/>
      <c r="T85" s="85"/>
      <c r="U85" s="20"/>
      <c r="V85" s="86"/>
    </row>
    <row r="86" ht="22.5" customHeight="1">
      <c r="A86" s="78" t="str">
        <f>IFERROR(__xludf.DUMMYFUNCTION("IFERROR(TO_TEXT(INDEX(Base!E:E, MATCH(B86, Base!A:A, 0))), ""mm.dd.yyyy"")
"),"03.05.2026")</f>
        <v>03.05.2026</v>
      </c>
      <c r="B86" s="8" t="s">
        <v>155</v>
      </c>
      <c r="C86" s="24" t="str">
        <f t="array" ref="C86">IFERROR(INDEX(Base!I:I,MATCH(B86,Base!A:A,0)),"Nome do Cliente")
</f>
        <v>VICENTE DE PAULA CRUZ</v>
      </c>
      <c r="D86" s="79" t="str">
        <f t="array" ref="D86">IFERROR(INDEX(Base!G:G,MATCH(B86,Base!A:A,0)),"Modelo da Cond.")</f>
        <v>MXD-A40K100E</v>
      </c>
      <c r="E86" s="79" t="str">
        <f t="array" ref="E86">IFERROR(INDEX(Base!H:H,MATCH(B86,Base!A:A,0)),"N° Serial")</f>
        <v>M000</v>
      </c>
      <c r="F86" s="79">
        <f t="shared" si="1"/>
        <v>45</v>
      </c>
      <c r="G86" s="11" t="s">
        <v>35</v>
      </c>
      <c r="H86" s="80" t="b">
        <v>0</v>
      </c>
      <c r="I86" s="81"/>
      <c r="J86" s="82"/>
      <c r="K86" s="60"/>
      <c r="L86" s="83" t="b">
        <v>0</v>
      </c>
      <c r="M86" s="84"/>
      <c r="N86" s="80" t="b">
        <v>0</v>
      </c>
      <c r="O86" s="82"/>
      <c r="P86" s="14"/>
      <c r="Q86" s="82"/>
      <c r="R86" s="82"/>
      <c r="S86" s="84"/>
      <c r="T86" s="85"/>
      <c r="U86" s="20"/>
      <c r="V86" s="86"/>
    </row>
    <row r="87" ht="22.5" customHeight="1">
      <c r="A87" s="78" t="str">
        <f>IFERROR(__xludf.DUMMYFUNCTION("IFERROR(TO_TEXT(INDEX(Base!E:E, MATCH(B87, Base!A:A, 0))), ""mm.dd.yyyy"")
"),"03.05.2026")</f>
        <v>03.05.2026</v>
      </c>
      <c r="B87" s="8" t="s">
        <v>156</v>
      </c>
      <c r="C87" s="24" t="str">
        <f t="array" ref="C87">IFERROR(INDEX(Base!I:I,MATCH(B87,Base!A:A,0)),"Nome do Cliente")
</f>
        <v>Israel Valentim Alves</v>
      </c>
      <c r="D87" s="79" t="str">
        <f t="array" ref="D87">IFERROR(INDEX(Base!G:G,MATCH(B87,Base!A:A,0)),"Modelo da Cond.")</f>
        <v>AJ080AXJ4KH/AZ</v>
      </c>
      <c r="E87" s="79" t="str">
        <f t="array" ref="E87">IFERROR(INDEX(Base!H:H,MATCH(B87,Base!A:A,0)),"N° Serial")</f>
        <v>M000</v>
      </c>
      <c r="F87" s="79">
        <f t="shared" si="1"/>
        <v>45</v>
      </c>
      <c r="G87" s="11" t="s">
        <v>23</v>
      </c>
      <c r="H87" s="80" t="b">
        <v>0</v>
      </c>
      <c r="I87" s="81"/>
      <c r="J87" s="82"/>
      <c r="K87" s="60"/>
      <c r="L87" s="83" t="b">
        <v>0</v>
      </c>
      <c r="M87" s="84"/>
      <c r="N87" s="80" t="b">
        <v>0</v>
      </c>
      <c r="O87" s="82"/>
      <c r="P87" s="14"/>
      <c r="Q87" s="82"/>
      <c r="R87" s="82"/>
      <c r="S87" s="84"/>
      <c r="T87" s="85"/>
      <c r="U87" s="20"/>
      <c r="V87" s="86"/>
    </row>
    <row r="88" ht="22.5" customHeight="1">
      <c r="A88" s="78" t="str">
        <f>IFERROR(__xludf.DUMMYFUNCTION("IFERROR(TO_TEXT(INDEX(Base!E:E, MATCH(B88, Base!A:A, 0))), ""mm.dd.yyyy"")
"),"03.05.2026")</f>
        <v>03.05.2026</v>
      </c>
      <c r="B88" s="8" t="s">
        <v>157</v>
      </c>
      <c r="C88" s="61" t="str">
        <f t="array" ref="C88">IFERROR(INDEX(Base!I:I,MATCH(B88,Base!A:A,0)),"Nome do Cliente")
</f>
        <v>Andressa Gildin</v>
      </c>
      <c r="D88" s="79" t="str">
        <f t="array" ref="D88">IFERROR(INDEX(Base!G:G,MATCH(B88,Base!A:A,0)),"Modelo da Cond.")</f>
        <v>AJ052TNNDKH/EA</v>
      </c>
      <c r="E88" s="79" t="str">
        <f t="array" ref="E88">IFERROR(INDEX(Base!H:H,MATCH(B88,Base!A:A,0)),"N° Serial")</f>
        <v>0V4APAGXC00005R</v>
      </c>
      <c r="F88" s="79">
        <f t="shared" si="1"/>
        <v>45</v>
      </c>
      <c r="G88" s="11" t="s">
        <v>23</v>
      </c>
      <c r="H88" s="80" t="b">
        <v>1</v>
      </c>
      <c r="I88" s="81">
        <v>46118.0</v>
      </c>
      <c r="J88" s="82" t="s">
        <v>23</v>
      </c>
      <c r="K88" s="11" t="s">
        <v>23</v>
      </c>
      <c r="L88" s="83" t="b">
        <v>0</v>
      </c>
      <c r="M88" s="84"/>
      <c r="N88" s="80" t="b">
        <v>1</v>
      </c>
      <c r="O88" s="82" t="s">
        <v>24</v>
      </c>
      <c r="P88" s="14"/>
      <c r="Q88" s="82" t="s">
        <v>45</v>
      </c>
      <c r="R88" s="82" t="s">
        <v>44</v>
      </c>
      <c r="S88" s="84"/>
      <c r="T88" s="85"/>
      <c r="U88" s="20"/>
      <c r="V88" s="86"/>
    </row>
    <row r="89" ht="22.5" customHeight="1">
      <c r="A89" s="78" t="str">
        <f>IFERROR(__xludf.DUMMYFUNCTION("IFERROR(TO_TEXT(INDEX(Base!E:E, MATCH(B89, Base!A:A, 0))), ""mm.dd.yyyy"")
"),"03.05.2026")</f>
        <v>03.05.2026</v>
      </c>
      <c r="B89" s="8" t="s">
        <v>158</v>
      </c>
      <c r="C89" s="24" t="str">
        <f t="array" ref="C89">IFERROR(INDEX(Base!I:I,MATCH(B89,Base!A:A,0)),"Nome do Cliente")
</f>
        <v>Solange De Lima Gois</v>
      </c>
      <c r="D89" s="79" t="str">
        <f t="array" ref="D89">IFERROR(INDEX(Base!G:G,MATCH(B89,Base!A:A,0)),"Modelo da Cond.")</f>
        <v>AJ025ANAPKH2AZ</v>
      </c>
      <c r="E89" s="79" t="str">
        <f t="array" ref="E89">IFERROR(INDEX(Base!H:H,MATCH(B89,Base!A:A,0)),"N° Serial")</f>
        <v>0321PXCX500215J</v>
      </c>
      <c r="F89" s="79">
        <f t="shared" si="1"/>
        <v>45</v>
      </c>
      <c r="G89" s="11" t="s">
        <v>23</v>
      </c>
      <c r="H89" s="80" t="b">
        <v>0</v>
      </c>
      <c r="I89" s="81"/>
      <c r="J89" s="82"/>
      <c r="K89" s="60"/>
      <c r="L89" s="83" t="b">
        <v>0</v>
      </c>
      <c r="M89" s="84"/>
      <c r="N89" s="80" t="b">
        <v>0</v>
      </c>
      <c r="O89" s="82"/>
      <c r="P89" s="14"/>
      <c r="Q89" s="82"/>
      <c r="R89" s="82"/>
      <c r="S89" s="84"/>
      <c r="T89" s="85"/>
      <c r="U89" s="20"/>
      <c r="V89" s="86"/>
    </row>
    <row r="90" ht="22.5" customHeight="1">
      <c r="A90" s="78" t="str">
        <f>IFERROR(__xludf.DUMMYFUNCTION("IFERROR(TO_TEXT(INDEX(Base!E:E, MATCH(B90, Base!A:A, 0))), ""mm.dd.yyyy"")
"),"03.05.2026")</f>
        <v>03.05.2026</v>
      </c>
      <c r="B90" s="8" t="s">
        <v>159</v>
      </c>
      <c r="C90" s="61" t="str">
        <f t="array" ref="C90">IFERROR(INDEX(Base!I:I,MATCH(B90,Base!A:A,0)),"Nome do Cliente")
</f>
        <v>Rogerio Bezerra Salvaia</v>
      </c>
      <c r="D90" s="79" t="str">
        <f t="array" ref="D90">IFERROR(INDEX(Base!G:G,MATCH(B90,Base!A:A,0)),"Modelo da Cond.")</f>
        <v>AJ068AXJ3KH/AZ</v>
      </c>
      <c r="E90" s="79" t="str">
        <f t="array" ref="E90">IFERROR(INDEX(Base!H:H,MATCH(B90,Base!A:A,0)),"N° Serial")</f>
        <v>02TKPXBY100137B</v>
      </c>
      <c r="F90" s="79">
        <f t="shared" si="1"/>
        <v>45</v>
      </c>
      <c r="G90" s="11" t="s">
        <v>23</v>
      </c>
      <c r="H90" s="80" t="b">
        <v>1</v>
      </c>
      <c r="I90" s="81">
        <v>46129.0</v>
      </c>
      <c r="J90" s="82" t="s">
        <v>24</v>
      </c>
      <c r="K90" s="11" t="s">
        <v>23</v>
      </c>
      <c r="L90" s="83" t="b">
        <v>0</v>
      </c>
      <c r="M90" s="84"/>
      <c r="N90" s="80" t="b">
        <v>0</v>
      </c>
      <c r="O90" s="82"/>
      <c r="P90" s="14"/>
      <c r="Q90" s="82"/>
      <c r="R90" s="82"/>
      <c r="S90" s="84"/>
      <c r="T90" s="85"/>
      <c r="U90" s="20"/>
      <c r="V90" s="86" t="s">
        <v>160</v>
      </c>
    </row>
    <row r="91" ht="22.5" customHeight="1">
      <c r="A91" s="78" t="str">
        <f>IFERROR(__xludf.DUMMYFUNCTION("IFERROR(TO_TEXT(INDEX(Base!E:E, MATCH(B91, Base!A:A, 0))), ""mm.dd.yyyy"")
"),"03.06.2026")</f>
        <v>03.06.2026</v>
      </c>
      <c r="B91" s="91" t="s">
        <v>161</v>
      </c>
      <c r="C91" s="61" t="str">
        <f t="array" ref="C91">IFERROR(INDEX(Base!I:I,MATCH(B91,Base!A:A,0)),"Nome do Cliente")
</f>
        <v>Enzo Sarolli vilar</v>
      </c>
      <c r="D91" s="79" t="str">
        <f t="array" ref="D91">IFERROR(INDEX(Base!G:G,MATCH(B91,Base!A:A,0)),"Modelo da Cond.")</f>
        <v>AC018DXADKG/AZ</v>
      </c>
      <c r="E91" s="79" t="str">
        <f t="array" ref="E91">IFERROR(INDEX(Base!H:H,MATCH(B91,Base!A:A,0)),"N° Serial")</f>
        <v>030DPXBY900054V</v>
      </c>
      <c r="F91" s="79">
        <f t="shared" si="1"/>
        <v>44</v>
      </c>
      <c r="G91" s="11" t="s">
        <v>23</v>
      </c>
      <c r="H91" s="80" t="b">
        <v>1</v>
      </c>
      <c r="I91" s="81">
        <v>46126.0</v>
      </c>
      <c r="J91" s="82" t="s">
        <v>24</v>
      </c>
      <c r="K91" s="11" t="s">
        <v>35</v>
      </c>
      <c r="L91" s="83" t="b">
        <v>0</v>
      </c>
      <c r="M91" s="84"/>
      <c r="N91" s="80" t="b">
        <v>0</v>
      </c>
      <c r="O91" s="82"/>
      <c r="P91" s="14"/>
      <c r="Q91" s="82"/>
      <c r="R91" s="82"/>
      <c r="S91" s="84"/>
      <c r="T91" s="85"/>
      <c r="U91" s="20"/>
      <c r="V91" s="86"/>
    </row>
    <row r="92" ht="22.5" customHeight="1">
      <c r="A92" s="78" t="str">
        <f>IFERROR(__xludf.DUMMYFUNCTION("IFERROR(TO_TEXT(INDEX(Base!E:E, MATCH(B92, Base!A:A, 0))), ""mm.dd.yyyy"")
"),"03.06.2026")</f>
        <v>03.06.2026</v>
      </c>
      <c r="B92" s="8" t="s">
        <v>162</v>
      </c>
      <c r="C92" s="61" t="str">
        <f t="array" ref="C92">IFERROR(INDEX(Base!I:I,MATCH(B92,Base!A:A,0)),"Nome do Cliente")
</f>
        <v>CONCEITO BRASIL ENGENHARIA LTDA</v>
      </c>
      <c r="D92" s="79" t="str">
        <f t="array" ref="D92">IFERROR(INDEX(Base!G:G,MATCH(B92,Base!A:A,0)),"Modelo da Cond.")</f>
        <v>AJ050AXJ2KH/AZ</v>
      </c>
      <c r="E92" s="79" t="str">
        <f t="array" ref="E92">IFERROR(INDEX(Base!H:H,MATCH(B92,Base!A:A,0)),"N° Serial")</f>
        <v>02TGPXBY400239V</v>
      </c>
      <c r="F92" s="79">
        <f t="shared" si="1"/>
        <v>44</v>
      </c>
      <c r="G92" s="11" t="s">
        <v>29</v>
      </c>
      <c r="H92" s="80" t="b">
        <v>1</v>
      </c>
      <c r="I92" s="81">
        <v>46126.0</v>
      </c>
      <c r="J92" s="82" t="s">
        <v>23</v>
      </c>
      <c r="K92" s="11" t="s">
        <v>23</v>
      </c>
      <c r="L92" s="83" t="b">
        <v>0</v>
      </c>
      <c r="M92" s="84"/>
      <c r="N92" s="80" t="b">
        <v>1</v>
      </c>
      <c r="O92" s="82" t="s">
        <v>24</v>
      </c>
      <c r="P92" s="14" t="s">
        <v>23</v>
      </c>
      <c r="Q92" s="82" t="s">
        <v>81</v>
      </c>
      <c r="R92" s="82" t="s">
        <v>44</v>
      </c>
      <c r="S92" s="84"/>
      <c r="T92" s="85"/>
      <c r="U92" s="20"/>
      <c r="V92" s="86"/>
    </row>
    <row r="93" ht="22.5" customHeight="1">
      <c r="A93" s="78" t="str">
        <f>IFERROR(__xludf.DUMMYFUNCTION("IFERROR(TO_TEXT(INDEX(Base!E:E, MATCH(B93, Base!A:A, 0))), ""mm.dd.yyyy"")
"),"03.06.2026")</f>
        <v>03.06.2026</v>
      </c>
      <c r="B93" s="8" t="s">
        <v>163</v>
      </c>
      <c r="C93" s="61" t="str">
        <f t="array" ref="C93">IFERROR(INDEX(Base!I:I,MATCH(B93,Base!A:A,0)),"Nome do Cliente")
</f>
        <v>Eduardo Bortolotti Costa</v>
      </c>
      <c r="D93" s="79" t="str">
        <f t="array" ref="D93">IFERROR(INDEX(Base!G:G,MATCH(B93,Base!A:A,0)),"Modelo da Cond.")</f>
        <v>AC060DNCDKG/AZ</v>
      </c>
      <c r="E93" s="79" t="str">
        <f t="array" ref="E93">IFERROR(INDEX(Base!H:H,MATCH(B93,Base!A:A,0)),"N° Serial")</f>
        <v>0311PXAX100106K</v>
      </c>
      <c r="F93" s="79">
        <f t="shared" si="1"/>
        <v>44</v>
      </c>
      <c r="G93" s="11" t="s">
        <v>23</v>
      </c>
      <c r="H93" s="80" t="b">
        <v>1</v>
      </c>
      <c r="I93" s="81">
        <v>46111.0</v>
      </c>
      <c r="J93" s="82" t="s">
        <v>24</v>
      </c>
      <c r="K93" s="11" t="s">
        <v>29</v>
      </c>
      <c r="L93" s="83" t="b">
        <v>0</v>
      </c>
      <c r="M93" s="84"/>
      <c r="N93" s="80" t="b">
        <v>0</v>
      </c>
      <c r="O93" s="82"/>
      <c r="P93" s="14"/>
      <c r="Q93" s="82"/>
      <c r="R93" s="82"/>
      <c r="S93" s="84"/>
      <c r="T93" s="85"/>
      <c r="U93" s="20"/>
      <c r="V93" s="86"/>
    </row>
    <row r="94" ht="22.5" customHeight="1">
      <c r="A94" s="78" t="str">
        <f>IFERROR(__xludf.DUMMYFUNCTION("IFERROR(TO_TEXT(INDEX(Base!E:E, MATCH(B94, Base!A:A, 0))), ""mm.dd.yyyy"")
"),"03.06.2026")</f>
        <v>03.06.2026</v>
      </c>
      <c r="B94" s="8" t="s">
        <v>164</v>
      </c>
      <c r="C94" s="24" t="str">
        <f t="array" ref="C94">IFERROR(INDEX(Base!I:I,MATCH(B94,Base!A:A,0)),"Nome do Cliente")
</f>
        <v>Andre Ingnez</v>
      </c>
      <c r="D94" s="79" t="str">
        <f t="array" ref="D94">IFERROR(INDEX(Base!G:G,MATCH(B94,Base!A:A,0)),"Modelo da Cond.")</f>
        <v>AJ052TN1DKH/EA</v>
      </c>
      <c r="E94" s="79" t="str">
        <f t="array" ref="E94">IFERROR(INDEX(Base!H:H,MATCH(B94,Base!A:A,0)),"N° Serial")</f>
        <v>BLGDP3HX700054P</v>
      </c>
      <c r="F94" s="79">
        <f t="shared" si="1"/>
        <v>44</v>
      </c>
      <c r="G94" s="11" t="s">
        <v>29</v>
      </c>
      <c r="H94" s="80" t="b">
        <v>1</v>
      </c>
      <c r="I94" s="81">
        <v>46106.0</v>
      </c>
      <c r="J94" s="82" t="s">
        <v>23</v>
      </c>
      <c r="K94" s="11" t="s">
        <v>23</v>
      </c>
      <c r="L94" s="83" t="b">
        <v>0</v>
      </c>
      <c r="M94" s="84"/>
      <c r="N94" s="80" t="b">
        <v>1</v>
      </c>
      <c r="O94" s="82" t="s">
        <v>24</v>
      </c>
      <c r="P94" s="14"/>
      <c r="Q94" s="82" t="s">
        <v>45</v>
      </c>
      <c r="R94" s="82" t="s">
        <v>44</v>
      </c>
      <c r="S94" s="84"/>
      <c r="T94" s="85"/>
      <c r="U94" s="20"/>
      <c r="V94" s="86" t="s">
        <v>103</v>
      </c>
    </row>
    <row r="95" ht="22.5" customHeight="1">
      <c r="A95" s="78" t="str">
        <f>IFERROR(__xludf.DUMMYFUNCTION("IFERROR(TO_TEXT(INDEX(Base!E:E, MATCH(B95, Base!A:A, 0))), ""mm.dd.yyyy"")
"),"03.06.2026")</f>
        <v>03.06.2026</v>
      </c>
      <c r="B95" s="90" t="s">
        <v>165</v>
      </c>
      <c r="C95" s="22" t="str">
        <f t="array" ref="C95">IFERROR(INDEX(Base!I:I,MATCH(B95,Base!A:A,0)),"Nome do Cliente")
</f>
        <v>FERNANDO DANTAS MANOEL</v>
      </c>
      <c r="D95" s="79" t="str">
        <f t="array" ref="D95">IFERROR(INDEX(Base!G:G,MATCH(B95,Base!A:A,0)),"Modelo da Cond.")</f>
        <v>AJ025ANAPKH2AZ</v>
      </c>
      <c r="E95" s="79" t="str">
        <f t="array" ref="E95">IFERROR(INDEX(Base!H:H,MATCH(B95,Base!A:A,0)),"N° Serial")</f>
        <v>0321PXAX600180M</v>
      </c>
      <c r="F95" s="79">
        <f t="shared" si="1"/>
        <v>44</v>
      </c>
      <c r="G95" s="11" t="s">
        <v>29</v>
      </c>
      <c r="H95" s="80" t="b">
        <v>1</v>
      </c>
      <c r="I95" s="81">
        <v>46135.0</v>
      </c>
      <c r="J95" s="82"/>
      <c r="K95" s="60"/>
      <c r="L95" s="83" t="b">
        <v>0</v>
      </c>
      <c r="M95" s="84"/>
      <c r="N95" s="80" t="b">
        <v>0</v>
      </c>
      <c r="O95" s="82"/>
      <c r="P95" s="14"/>
      <c r="Q95" s="82"/>
      <c r="R95" s="82"/>
      <c r="S95" s="84"/>
      <c r="T95" s="85"/>
      <c r="U95" s="20"/>
      <c r="V95" s="86"/>
    </row>
    <row r="96" ht="22.5" customHeight="1">
      <c r="A96" s="78" t="str">
        <f>IFERROR(__xludf.DUMMYFUNCTION("IFERROR(TO_TEXT(INDEX(Base!E:E, MATCH(B96, Base!A:A, 0))), ""mm.dd.yyyy"")
"),"03.06.2026")</f>
        <v>03.06.2026</v>
      </c>
      <c r="B96" s="8" t="s">
        <v>166</v>
      </c>
      <c r="C96" s="24" t="str">
        <f t="array" ref="C96">IFERROR(INDEX(Base!I:I,MATCH(B96,Base!A:A,0)),"Nome do Cliente")
</f>
        <v>Adilson Peruchi</v>
      </c>
      <c r="D96" s="79" t="str">
        <f t="array" ref="D96">IFERROR(INDEX(Base!G:G,MATCH(B96,Base!A:A,0)),"Modelo da Cond.")</f>
        <v>AJ025ANAPKH/AZ</v>
      </c>
      <c r="E96" s="79" t="str">
        <f t="array" ref="E96">IFERROR(INDEX(Base!H:H,MATCH(B96,Base!A:A,0)),"N° Serial")</f>
        <v>02TDPXCXC00192Y</v>
      </c>
      <c r="F96" s="79">
        <f t="shared" si="1"/>
        <v>44</v>
      </c>
      <c r="G96" s="11" t="s">
        <v>23</v>
      </c>
      <c r="H96" s="80" t="b">
        <v>0</v>
      </c>
      <c r="I96" s="81"/>
      <c r="J96" s="82"/>
      <c r="K96" s="60"/>
      <c r="L96" s="83" t="b">
        <v>0</v>
      </c>
      <c r="M96" s="84"/>
      <c r="N96" s="80" t="b">
        <v>0</v>
      </c>
      <c r="O96" s="82"/>
      <c r="P96" s="14"/>
      <c r="Q96" s="82"/>
      <c r="R96" s="82"/>
      <c r="S96" s="84"/>
      <c r="T96" s="85"/>
      <c r="U96" s="20"/>
      <c r="V96" s="86"/>
    </row>
    <row r="97" ht="22.5" customHeight="1">
      <c r="A97" s="78" t="str">
        <f>IFERROR(__xludf.DUMMYFUNCTION("IFERROR(TO_TEXT(INDEX(Base!E:E, MATCH(B97, Base!A:A, 0))), ""mm.dd.yyyy"")
"),"03.09.2026")</f>
        <v>03.09.2026</v>
      </c>
      <c r="B97" s="8" t="s">
        <v>167</v>
      </c>
      <c r="C97" s="24" t="str">
        <f t="array" ref="C97">IFERROR(INDEX(Base!I:I,MATCH(B97,Base!A:A,0)),"Nome do Cliente")
</f>
        <v>Roberto Martino</v>
      </c>
      <c r="D97" s="79" t="str">
        <f t="array" ref="D97">IFERROR(INDEX(Base!G:G,MATCH(B97,Base!A:A,0)),"Modelo da Cond.")</f>
        <v>AC018DXADKG/AZ</v>
      </c>
      <c r="E97" s="79" t="str">
        <f t="array" ref="E97">IFERROR(INDEX(Base!H:H,MATCH(B97,Base!A:A,0)),"N° Serial")</f>
        <v>M000</v>
      </c>
      <c r="F97" s="79">
        <f t="shared" si="1"/>
        <v>41</v>
      </c>
      <c r="G97" s="11" t="s">
        <v>23</v>
      </c>
      <c r="H97" s="80" t="b">
        <v>0</v>
      </c>
      <c r="I97" s="81"/>
      <c r="J97" s="82"/>
      <c r="K97" s="60"/>
      <c r="L97" s="83" t="b">
        <v>0</v>
      </c>
      <c r="M97" s="84"/>
      <c r="N97" s="80" t="b">
        <v>0</v>
      </c>
      <c r="O97" s="82"/>
      <c r="P97" s="14"/>
      <c r="Q97" s="82"/>
      <c r="R97" s="82"/>
      <c r="S97" s="84"/>
      <c r="T97" s="85"/>
      <c r="U97" s="20"/>
      <c r="V97" s="86"/>
    </row>
    <row r="98" ht="22.5" customHeight="1">
      <c r="A98" s="78" t="str">
        <f>IFERROR(__xludf.DUMMYFUNCTION("IFERROR(TO_TEXT(INDEX(Base!E:E, MATCH(B98, Base!A:A, 0))), ""mm.dd.yyyy"")
"),"03.10.2026")</f>
        <v>03.10.2026</v>
      </c>
      <c r="B98" s="8" t="s">
        <v>168</v>
      </c>
      <c r="C98" s="61" t="str">
        <f t="array" ref="C98">IFERROR(INDEX(Base!I:I,MATCH(B98,Base!A:A,0)),"Nome do Cliente")
</f>
        <v>SOL PNEUS LTDA</v>
      </c>
      <c r="D98" s="79" t="str">
        <f t="array" ref="D98">IFERROR(INDEX(Base!G:G,MATCH(B98,Base!A:A,0)),"Modelo da Cond.")</f>
        <v>AJ080AXJ4KH/AZ</v>
      </c>
      <c r="E98" s="79" t="str">
        <f t="array" ref="E98">IFERROR(INDEX(Base!H:H,MATCH(B98,Base!A:A,0)),"N° Serial")</f>
        <v>02TMPXBY100175V</v>
      </c>
      <c r="F98" s="79">
        <f t="shared" si="1"/>
        <v>40</v>
      </c>
      <c r="G98" s="11" t="s">
        <v>23</v>
      </c>
      <c r="H98" s="80" t="b">
        <v>1</v>
      </c>
      <c r="I98" s="81">
        <v>46105.0</v>
      </c>
      <c r="J98" s="82" t="s">
        <v>24</v>
      </c>
      <c r="K98" s="11" t="s">
        <v>35</v>
      </c>
      <c r="L98" s="83" t="b">
        <v>0</v>
      </c>
      <c r="M98" s="84"/>
      <c r="N98" s="80" t="b">
        <v>0</v>
      </c>
      <c r="O98" s="88"/>
      <c r="P98" s="14"/>
      <c r="Q98" s="88"/>
      <c r="R98" s="88"/>
      <c r="S98" s="84"/>
      <c r="T98" s="85"/>
      <c r="U98" s="20"/>
      <c r="V98" s="86"/>
    </row>
    <row r="99" ht="22.5" customHeight="1">
      <c r="A99" s="78" t="str">
        <f>IFERROR(__xludf.DUMMYFUNCTION("IFERROR(TO_TEXT(INDEX(Base!E:E, MATCH(B99, Base!A:A, 0))), ""mm.dd.yyyy"")
"),"03.09.2026")</f>
        <v>03.09.2026</v>
      </c>
      <c r="B99" s="8" t="s">
        <v>169</v>
      </c>
      <c r="C99" s="24" t="str">
        <f t="array" ref="C99">IFERROR(INDEX(Base!I:I,MATCH(B99,Base!A:A,0)),"Nome do Cliente")
</f>
        <v>OBRAS SOCIAIS NOSSA SENHORA</v>
      </c>
      <c r="D99" s="79" t="str">
        <f t="array" ref="D99">IFERROR(INDEX(Base!G:G,MATCH(B99,Base!A:A,0)),"Modelo da Cond.")</f>
        <v>AJ068ANAPKH2AZ</v>
      </c>
      <c r="E99" s="79" t="str">
        <f t="array" ref="E99">IFERROR(INDEX(Base!H:H,MATCH(B99,Base!A:A,0)),"N° Serial")</f>
        <v>M000</v>
      </c>
      <c r="F99" s="79">
        <f t="shared" si="1"/>
        <v>41</v>
      </c>
      <c r="G99" s="11" t="s">
        <v>35</v>
      </c>
      <c r="H99" s="80" t="b">
        <v>0</v>
      </c>
      <c r="I99" s="81"/>
      <c r="J99" s="82"/>
      <c r="K99" s="60"/>
      <c r="L99" s="83" t="b">
        <v>0</v>
      </c>
      <c r="M99" s="84"/>
      <c r="N99" s="80" t="b">
        <v>0</v>
      </c>
      <c r="O99" s="82"/>
      <c r="P99" s="14"/>
      <c r="Q99" s="82"/>
      <c r="R99" s="82"/>
      <c r="S99" s="84"/>
      <c r="T99" s="85"/>
      <c r="U99" s="20"/>
      <c r="V99" s="86"/>
    </row>
    <row r="100" ht="22.5" customHeight="1">
      <c r="A100" s="78" t="str">
        <f>IFERROR(__xludf.DUMMYFUNCTION("IFERROR(TO_TEXT(INDEX(Base!E:E, MATCH(B100, Base!A:A, 0))), ""mm.dd.yyyy"")
"),"03.10.2026")</f>
        <v>03.10.2026</v>
      </c>
      <c r="B100" s="8" t="s">
        <v>170</v>
      </c>
      <c r="C100" s="22" t="str">
        <f t="array" ref="C100">IFERROR(INDEX(Base!I:I,MATCH(B100,Base!A:A,0)),"Nome do Cliente")
</f>
        <v>Marcos Walter Sessa Filho</v>
      </c>
      <c r="D100" s="79" t="str">
        <f t="array" ref="D100">IFERROR(INDEX(Base!G:G,MATCH(B100,Base!A:A,0)),"Modelo da Cond.")</f>
        <v>AJ035ANAPKH/AZ</v>
      </c>
      <c r="E100" s="79" t="str">
        <f t="array" ref="E100">IFERROR(INDEX(Base!H:H,MATCH(B100,Base!A:A,0)),"N° Serial")</f>
        <v>02TEPXCYB00051N</v>
      </c>
      <c r="F100" s="79">
        <f t="shared" si="1"/>
        <v>40</v>
      </c>
      <c r="G100" s="11" t="s">
        <v>23</v>
      </c>
      <c r="H100" s="80" t="b">
        <v>1</v>
      </c>
      <c r="I100" s="81">
        <v>46118.0</v>
      </c>
      <c r="J100" s="82" t="s">
        <v>24</v>
      </c>
      <c r="K100" s="11" t="s">
        <v>29</v>
      </c>
      <c r="L100" s="83" t="b">
        <v>1</v>
      </c>
      <c r="M100" s="89">
        <v>46126.0</v>
      </c>
      <c r="N100" s="80" t="b">
        <v>0</v>
      </c>
      <c r="O100" s="82"/>
      <c r="P100" s="14"/>
      <c r="Q100" s="82"/>
      <c r="R100" s="82"/>
      <c r="S100" s="84"/>
      <c r="T100" s="85"/>
      <c r="U100" s="20"/>
      <c r="V100" s="86"/>
    </row>
    <row r="101" ht="22.5" customHeight="1">
      <c r="A101" s="78" t="str">
        <f>IFERROR(__xludf.DUMMYFUNCTION("IFERROR(TO_TEXT(INDEX(Base!E:E, MATCH(B101, Base!A:A, 0))), ""mm.dd.yyyy"")
"),"03.10.2026")</f>
        <v>03.10.2026</v>
      </c>
      <c r="B101" s="8" t="s">
        <v>171</v>
      </c>
      <c r="C101" s="61" t="str">
        <f t="array" ref="C101">IFERROR(INDEX(Base!I:I,MATCH(B101,Base!A:A,0)),"Nome do Cliente")
</f>
        <v>Igor matheus Grimm</v>
      </c>
      <c r="D101" s="79" t="str">
        <f t="array" ref="D101">IFERROR(INDEX(Base!G:G,MATCH(B101,Base!A:A,0)),"Modelo da Cond.")</f>
        <v>AJ025ANAPKH2AZ</v>
      </c>
      <c r="E101" s="79" t="str">
        <f t="array" ref="E101">IFERROR(INDEX(Base!H:H,MATCH(B101,Base!A:A,0)),"N° Serial")</f>
        <v>0321PXCXA00131X</v>
      </c>
      <c r="F101" s="79">
        <f t="shared" si="1"/>
        <v>40</v>
      </c>
      <c r="G101" s="11" t="s">
        <v>29</v>
      </c>
      <c r="H101" s="80" t="b">
        <v>1</v>
      </c>
      <c r="I101" s="81">
        <v>46106.0</v>
      </c>
      <c r="J101" s="82" t="s">
        <v>23</v>
      </c>
      <c r="K101" s="11" t="s">
        <v>23</v>
      </c>
      <c r="L101" s="83" t="b">
        <v>0</v>
      </c>
      <c r="M101" s="84"/>
      <c r="N101" s="80" t="b">
        <v>1</v>
      </c>
      <c r="O101" s="82" t="s">
        <v>24</v>
      </c>
      <c r="P101" s="14" t="s">
        <v>23</v>
      </c>
      <c r="Q101" s="82" t="s">
        <v>45</v>
      </c>
      <c r="R101" s="82" t="s">
        <v>45</v>
      </c>
      <c r="S101" s="84"/>
      <c r="T101" s="85"/>
      <c r="U101" s="20"/>
      <c r="V101" s="86" t="s">
        <v>172</v>
      </c>
    </row>
    <row r="102" ht="22.5" customHeight="1">
      <c r="A102" s="78" t="str">
        <f>IFERROR(__xludf.DUMMYFUNCTION("IFERROR(TO_TEXT(INDEX(Base!E:E, MATCH(B102, Base!A:A, 0))), ""mm.dd.yyyy"")
"),"03.10.2026")</f>
        <v>03.10.2026</v>
      </c>
      <c r="B102" s="8" t="s">
        <v>173</v>
      </c>
      <c r="C102" s="22" t="str">
        <f t="array" ref="C102">IFERROR(INDEX(Base!I:I,MATCH(B102,Base!A:A,0)),"Nome do Cliente")
</f>
        <v>RENATO FREITAS DA SILVA</v>
      </c>
      <c r="D102" s="79" t="str">
        <f t="array" ref="D102">IFERROR(INDEX(Base!G:G,MATCH(B102,Base!A:A,0)),"Modelo da Cond.")</f>
        <v>AJ025ANAPKH2AZ</v>
      </c>
      <c r="E102" s="79" t="str">
        <f t="array" ref="E102">IFERROR(INDEX(Base!H:H,MATCH(B102,Base!A:A,0)),"N° Serial")</f>
        <v>M000</v>
      </c>
      <c r="F102" s="79">
        <f t="shared" si="1"/>
        <v>40</v>
      </c>
      <c r="G102" s="11" t="s">
        <v>23</v>
      </c>
      <c r="H102" s="80" t="b">
        <v>1</v>
      </c>
      <c r="I102" s="81">
        <v>46134.0</v>
      </c>
      <c r="J102" s="82"/>
      <c r="K102" s="60"/>
      <c r="L102" s="83" t="b">
        <v>0</v>
      </c>
      <c r="M102" s="84"/>
      <c r="N102" s="80" t="b">
        <v>0</v>
      </c>
      <c r="O102" s="82"/>
      <c r="P102" s="14"/>
      <c r="Q102" s="82"/>
      <c r="R102" s="82"/>
      <c r="S102" s="84"/>
      <c r="T102" s="85"/>
      <c r="U102" s="20"/>
      <c r="V102" s="86"/>
    </row>
    <row r="103" ht="22.5" customHeight="1">
      <c r="A103" s="78" t="str">
        <f>IFERROR(__xludf.DUMMYFUNCTION("IFERROR(TO_TEXT(INDEX(Base!E:E, MATCH(B103, Base!A:A, 0))), ""mm.dd.yyyy"")
"),"03.11.2026")</f>
        <v>03.11.2026</v>
      </c>
      <c r="B103" s="8" t="s">
        <v>174</v>
      </c>
      <c r="C103" s="61" t="str">
        <f t="array" ref="C103">IFERROR(INDEX(Base!I:I,MATCH(B103,Base!A:A,0)),"Nome do Cliente")
</f>
        <v>THIAGO RIBEIRO ARTACHO</v>
      </c>
      <c r="D103" s="79" t="str">
        <f t="array" ref="D103">IFERROR(INDEX(Base!G:G,MATCH(B103,Base!A:A,0)),"Modelo da Cond.")</f>
        <v>AJ035ANAPKH/AZ</v>
      </c>
      <c r="E103" s="79" t="str">
        <f t="array" ref="E103">IFERROR(INDEX(Base!H:H,MATCH(B103,Base!A:A,0)),"N° Serial")</f>
        <v>02TEPXCYB00012F</v>
      </c>
      <c r="F103" s="79">
        <f t="shared" si="1"/>
        <v>39</v>
      </c>
      <c r="G103" s="11" t="s">
        <v>23</v>
      </c>
      <c r="H103" s="80" t="b">
        <v>1</v>
      </c>
      <c r="I103" s="81">
        <v>46119.0</v>
      </c>
      <c r="J103" s="82" t="s">
        <v>23</v>
      </c>
      <c r="K103" s="11" t="s">
        <v>23</v>
      </c>
      <c r="L103" s="83" t="b">
        <v>0</v>
      </c>
      <c r="M103" s="84"/>
      <c r="N103" s="80" t="b">
        <v>1</v>
      </c>
      <c r="O103" s="82" t="s">
        <v>24</v>
      </c>
      <c r="P103" s="14"/>
      <c r="Q103" s="82" t="s">
        <v>45</v>
      </c>
      <c r="R103" s="82" t="s">
        <v>44</v>
      </c>
      <c r="S103" s="84"/>
      <c r="T103" s="85"/>
      <c r="U103" s="20"/>
      <c r="V103" s="86"/>
    </row>
    <row r="104" ht="22.5" customHeight="1">
      <c r="A104" s="78" t="str">
        <f>IFERROR(__xludf.DUMMYFUNCTION("IFERROR(TO_TEXT(INDEX(Base!E:E, MATCH(B104, Base!A:A, 0))), ""mm.dd.yyyy"")
"),"3.11.2026")</f>
        <v>3.11.2026</v>
      </c>
      <c r="B104" s="8" t="s">
        <v>175</v>
      </c>
      <c r="C104" s="61" t="str">
        <f t="array" ref="C104">IFERROR(INDEX(Base!I:I,MATCH(B104,Base!A:A,0)),"Nome do Cliente")
</f>
        <v>DAIANE SILVA MARQUES</v>
      </c>
      <c r="D104" s="79" t="str">
        <f t="array" ref="D104">IFERROR(INDEX(Base!G:G,MATCH(B104,Base!A:A,0)),"Modelo da Cond.")</f>
        <v>AC048DXADKG/AZ</v>
      </c>
      <c r="E104" s="79" t="str">
        <f t="array" ref="E104">IFERROR(INDEX(Base!H:H,MATCH(B104,Base!A:A,0)),"N° Serial")</f>
        <v>M000</v>
      </c>
      <c r="F104" s="79" t="str">
        <f t="shared" si="1"/>
        <v>#VALUE!</v>
      </c>
      <c r="G104" s="11" t="s">
        <v>23</v>
      </c>
      <c r="H104" s="80" t="b">
        <v>1</v>
      </c>
      <c r="I104" s="81">
        <v>46104.0</v>
      </c>
      <c r="J104" s="82" t="s">
        <v>24</v>
      </c>
      <c r="K104" s="11" t="s">
        <v>23</v>
      </c>
      <c r="L104" s="83" t="b">
        <v>0</v>
      </c>
      <c r="M104" s="84"/>
      <c r="N104" s="80" t="b">
        <v>0</v>
      </c>
      <c r="O104" s="82"/>
      <c r="P104" s="14"/>
      <c r="Q104" s="82"/>
      <c r="R104" s="82"/>
      <c r="S104" s="84"/>
      <c r="T104" s="85"/>
      <c r="U104" s="20"/>
      <c r="V104" s="86" t="s">
        <v>176</v>
      </c>
    </row>
    <row r="105" ht="22.5" customHeight="1">
      <c r="A105" s="78" t="str">
        <f>IFERROR(__xludf.DUMMYFUNCTION("IFERROR(TO_TEXT(INDEX(Base!E:E, MATCH(B105, Base!A:A, 0))), ""mm.dd.yyyy"")
"),"03.11.2026")</f>
        <v>03.11.2026</v>
      </c>
      <c r="B105" s="8" t="s">
        <v>177</v>
      </c>
      <c r="C105" s="24" t="str">
        <f t="array" ref="C105">IFERROR(INDEX(Base!I:I,MATCH(B105,Base!A:A,0)),"Nome do Cliente")
</f>
        <v>FELIPE DE AZEVEDO RAIMUNDO</v>
      </c>
      <c r="D105" s="79" t="str">
        <f t="array" ref="D105">IFERROR(INDEX(Base!G:G,MATCH(B105,Base!A:A,0)),"Modelo da Cond.")</f>
        <v>AR12DYFABWKNAZ</v>
      </c>
      <c r="E105" s="79" t="str">
        <f t="array" ref="E105">IFERROR(INDEX(Base!H:H,MATCH(B105,Base!A:A,0)),"N° Serial")</f>
        <v>M000</v>
      </c>
      <c r="F105" s="79">
        <f t="shared" si="1"/>
        <v>39</v>
      </c>
      <c r="G105" s="11" t="s">
        <v>35</v>
      </c>
      <c r="H105" s="80" t="b">
        <v>0</v>
      </c>
      <c r="I105" s="81"/>
      <c r="J105" s="82"/>
      <c r="K105" s="60"/>
      <c r="L105" s="83" t="b">
        <v>0</v>
      </c>
      <c r="M105" s="84"/>
      <c r="N105" s="80" t="b">
        <v>0</v>
      </c>
      <c r="O105" s="82"/>
      <c r="P105" s="14"/>
      <c r="Q105" s="82"/>
      <c r="R105" s="82"/>
      <c r="S105" s="84"/>
      <c r="T105" s="85"/>
      <c r="U105" s="20"/>
      <c r="V105" s="86" t="s">
        <v>178</v>
      </c>
    </row>
    <row r="106" ht="22.5" customHeight="1">
      <c r="A106" s="78" t="str">
        <f>IFERROR(__xludf.DUMMYFUNCTION("IFERROR(TO_TEXT(INDEX(Base!E:E, MATCH(B106, Base!A:A, 0))), ""mm.dd.yyyy"")
"),"3.12.2026")</f>
        <v>3.12.2026</v>
      </c>
      <c r="B106" s="8" t="s">
        <v>179</v>
      </c>
      <c r="C106" s="24" t="str">
        <f t="array" ref="C106">IFERROR(INDEX(Base!I:I,MATCH(B106,Base!A:A,0)),"Nome do Cliente")
</f>
        <v>SANTOS COMERCIO DE REFRIGER</v>
      </c>
      <c r="D106" s="79" t="str">
        <f t="array" ref="D106">IFERROR(INDEX(Base!G:G,MATCH(B106,Base!A:A,0)),"Modelo da Cond.")</f>
        <v>AC018DXADKG/AZ</v>
      </c>
      <c r="E106" s="79" t="str">
        <f t="array" ref="E106">IFERROR(INDEX(Base!H:H,MATCH(B106,Base!A:A,0)),"N° Serial")</f>
        <v>030DPXBY700171B</v>
      </c>
      <c r="F106" s="79" t="str">
        <f t="shared" si="1"/>
        <v>#VALUE!</v>
      </c>
      <c r="G106" s="11" t="s">
        <v>23</v>
      </c>
      <c r="H106" s="80" t="b">
        <v>0</v>
      </c>
      <c r="I106" s="81"/>
      <c r="J106" s="82"/>
      <c r="K106" s="60"/>
      <c r="L106" s="83" t="b">
        <v>0</v>
      </c>
      <c r="M106" s="84"/>
      <c r="N106" s="80" t="b">
        <v>0</v>
      </c>
      <c r="O106" s="82"/>
      <c r="P106" s="14"/>
      <c r="Q106" s="82"/>
      <c r="R106" s="82"/>
      <c r="S106" s="84"/>
      <c r="T106" s="85"/>
      <c r="U106" s="20"/>
      <c r="V106" s="86"/>
    </row>
    <row r="107" ht="22.5" customHeight="1">
      <c r="A107" s="78" t="str">
        <f>IFERROR(__xludf.DUMMYFUNCTION("IFERROR(TO_TEXT(INDEX(Base!E:E, MATCH(B107, Base!A:A, 0))), ""mm.dd.yyyy"")
"),"03.12.2026")</f>
        <v>03.12.2026</v>
      </c>
      <c r="B107" s="8" t="s">
        <v>180</v>
      </c>
      <c r="C107" s="24" t="str">
        <f t="array" ref="C107">IFERROR(INDEX(Base!I:I,MATCH(B107,Base!A:A,0)),"Nome do Cliente")
</f>
        <v>SANTOS COMERCIO DE REFRIGER</v>
      </c>
      <c r="D107" s="79" t="str">
        <f t="array" ref="D107">IFERROR(INDEX(Base!G:G,MATCH(B107,Base!A:A,0)),"Modelo da Cond.")</f>
        <v>AC018DXADKG/AZ</v>
      </c>
      <c r="E107" s="79" t="str">
        <f t="array" ref="E107">IFERROR(INDEX(Base!H:H,MATCH(B107,Base!A:A,0)),"N° Serial")</f>
        <v>030DPXBY700168M</v>
      </c>
      <c r="F107" s="79">
        <f t="shared" si="1"/>
        <v>38</v>
      </c>
      <c r="G107" s="11" t="s">
        <v>23</v>
      </c>
      <c r="H107" s="80" t="b">
        <v>0</v>
      </c>
      <c r="I107" s="81"/>
      <c r="J107" s="82"/>
      <c r="K107" s="60"/>
      <c r="L107" s="83" t="b">
        <v>0</v>
      </c>
      <c r="M107" s="84"/>
      <c r="N107" s="80" t="b">
        <v>0</v>
      </c>
      <c r="O107" s="82"/>
      <c r="P107" s="14"/>
      <c r="Q107" s="82"/>
      <c r="R107" s="82"/>
      <c r="S107" s="84"/>
      <c r="T107" s="85"/>
      <c r="U107" s="20"/>
      <c r="V107" s="86"/>
    </row>
    <row r="108" ht="22.5" customHeight="1">
      <c r="A108" s="78" t="str">
        <f>IFERROR(__xludf.DUMMYFUNCTION("IFERROR(TO_TEXT(INDEX(Base!E:E, MATCH(B108, Base!A:A, 0))), ""mm.dd.yyyy"")
"),"03.12.2026")</f>
        <v>03.12.2026</v>
      </c>
      <c r="B108" s="8" t="s">
        <v>181</v>
      </c>
      <c r="C108" s="24" t="str">
        <f t="array" ref="C108">IFERROR(INDEX(Base!I:I,MATCH(B108,Base!A:A,0)),"Nome do Cliente")
</f>
        <v>Oswaldo Moratas</v>
      </c>
      <c r="D108" s="79" t="str">
        <f t="array" ref="D108">IFERROR(INDEX(Base!G:G,MATCH(B108,Base!A:A,0)),"Modelo da Cond.")</f>
        <v>AJ080AXJ4KH/AZ</v>
      </c>
      <c r="E108" s="79" t="str">
        <f t="array" ref="E108">IFERROR(INDEX(Base!H:H,MATCH(B108,Base!A:A,0)),"N° Serial")</f>
        <v>02TMPXBX900450H</v>
      </c>
      <c r="F108" s="79">
        <f t="shared" si="1"/>
        <v>38</v>
      </c>
      <c r="G108" s="11" t="s">
        <v>23</v>
      </c>
      <c r="H108" s="80" t="b">
        <v>0</v>
      </c>
      <c r="I108" s="81"/>
      <c r="J108" s="82"/>
      <c r="K108" s="60"/>
      <c r="L108" s="83" t="b">
        <v>0</v>
      </c>
      <c r="M108" s="84"/>
      <c r="N108" s="80" t="b">
        <v>0</v>
      </c>
      <c r="O108" s="82"/>
      <c r="P108" s="14"/>
      <c r="Q108" s="82"/>
      <c r="R108" s="82"/>
      <c r="S108" s="84"/>
      <c r="T108" s="85"/>
      <c r="U108" s="20"/>
      <c r="V108" s="86"/>
    </row>
    <row r="109" ht="22.5" customHeight="1">
      <c r="A109" s="78" t="str">
        <f>IFERROR(__xludf.DUMMYFUNCTION("IFERROR(TO_TEXT(INDEX(Base!E:E, MATCH(B109, Base!A:A, 0))), ""mm.dd.yyyy"")
"),"03.12.2026")</f>
        <v>03.12.2026</v>
      </c>
      <c r="B109" s="8" t="s">
        <v>182</v>
      </c>
      <c r="C109" s="61" t="str">
        <f t="array" ref="C109">IFERROR(INDEX(Base!I:I,MATCH(B109,Base!A:A,0)),"Nome do Cliente")
</f>
        <v>Letícia Marques Vieira</v>
      </c>
      <c r="D109" s="79" t="str">
        <f t="array" ref="D109">IFERROR(INDEX(Base!G:G,MATCH(B109,Base!A:A,0)),"Modelo da Cond.")</f>
        <v>AJ068AXJ3KH/AZ</v>
      </c>
      <c r="E109" s="79" t="str">
        <f t="array" ref="E109">IFERROR(INDEX(Base!H:H,MATCH(B109,Base!A:A,0)),"N° Serial")</f>
        <v>02TKPXBY900050Z</v>
      </c>
      <c r="F109" s="79">
        <f t="shared" si="1"/>
        <v>38</v>
      </c>
      <c r="G109" s="11" t="s">
        <v>23</v>
      </c>
      <c r="H109" s="80" t="b">
        <v>1</v>
      </c>
      <c r="I109" s="81">
        <v>46114.0</v>
      </c>
      <c r="J109" s="82" t="s">
        <v>23</v>
      </c>
      <c r="K109" s="11" t="s">
        <v>23</v>
      </c>
      <c r="L109" s="83" t="b">
        <v>0</v>
      </c>
      <c r="M109" s="84"/>
      <c r="N109" s="80" t="b">
        <v>1</v>
      </c>
      <c r="O109" s="82" t="s">
        <v>24</v>
      </c>
      <c r="P109" s="14" t="s">
        <v>24</v>
      </c>
      <c r="Q109" s="82" t="s">
        <v>45</v>
      </c>
      <c r="R109" s="82" t="s">
        <v>44</v>
      </c>
      <c r="S109" s="84"/>
      <c r="T109" s="85"/>
      <c r="U109" s="20"/>
      <c r="V109" s="86"/>
    </row>
    <row r="110" ht="22.5" customHeight="1">
      <c r="A110" s="78" t="str">
        <f>IFERROR(__xludf.DUMMYFUNCTION("IFERROR(TO_TEXT(INDEX(Base!E:E, MATCH(B110, Base!A:A, 0))), ""mm.dd.yyyy"")
"),"03.12.2026")</f>
        <v>03.12.2026</v>
      </c>
      <c r="B110" s="8" t="s">
        <v>183</v>
      </c>
      <c r="C110" s="24" t="str">
        <f t="array" ref="C110">IFERROR(INDEX(Base!I:I,MATCH(B110,Base!A:A,0)),"Nome do Cliente")
</f>
        <v>Lucas Da Paz Pedro</v>
      </c>
      <c r="D110" s="79" t="str">
        <f t="array" ref="D110">IFERROR(INDEX(Base!G:G,MATCH(B110,Base!A:A,0)),"Modelo da Cond.")</f>
        <v>AJ025ANAPKH2AZ</v>
      </c>
      <c r="E110" s="79" t="str">
        <f t="array" ref="E110">IFERROR(INDEX(Base!H:H,MATCH(B110,Base!A:A,0)),"N° Serial")</f>
        <v>0321PXCXA01156T</v>
      </c>
      <c r="F110" s="79">
        <f t="shared" si="1"/>
        <v>38</v>
      </c>
      <c r="G110" s="11" t="s">
        <v>23</v>
      </c>
      <c r="H110" s="80" t="b">
        <v>0</v>
      </c>
      <c r="I110" s="81"/>
      <c r="J110" s="82"/>
      <c r="K110" s="60"/>
      <c r="L110" s="83" t="b">
        <v>0</v>
      </c>
      <c r="M110" s="84"/>
      <c r="N110" s="80" t="b">
        <v>0</v>
      </c>
      <c r="O110" s="82"/>
      <c r="P110" s="14"/>
      <c r="Q110" s="82"/>
      <c r="R110" s="82"/>
      <c r="S110" s="84"/>
      <c r="T110" s="85"/>
      <c r="U110" s="20"/>
      <c r="V110" s="86"/>
    </row>
    <row r="111" ht="22.5" customHeight="1">
      <c r="A111" s="78" t="str">
        <f>IFERROR(__xludf.DUMMYFUNCTION("IFERROR(TO_TEXT(INDEX(Base!E:E, MATCH(B111, Base!A:A, 0))), ""mm.dd.yyyy"")
"),"03.12.2026")</f>
        <v>03.12.2026</v>
      </c>
      <c r="B111" s="8" t="s">
        <v>184</v>
      </c>
      <c r="C111" s="61" t="str">
        <f t="array" ref="C111">IFERROR(INDEX(Base!I:I,MATCH(B111,Base!A:A,0)),"Nome do Cliente")
</f>
        <v>STR SERVICE COMERCIO</v>
      </c>
      <c r="D111" s="79" t="str">
        <f t="array" ref="D111">IFERROR(INDEX(Base!G:G,MATCH(B111,Base!A:A,0)),"Modelo da Cond.")</f>
        <v>AM036TNVDKH/EU</v>
      </c>
      <c r="E111" s="79" t="str">
        <f t="array" ref="E111">IFERROR(INDEX(Base!H:H,MATCH(B111,Base!A:A,0)),"N° Serial")</f>
        <v>0HG7PDCX800881A</v>
      </c>
      <c r="F111" s="79">
        <f t="shared" si="1"/>
        <v>38</v>
      </c>
      <c r="G111" s="11" t="s">
        <v>23</v>
      </c>
      <c r="H111" s="80" t="b">
        <v>1</v>
      </c>
      <c r="I111" s="81">
        <v>46099.0</v>
      </c>
      <c r="J111" s="82" t="s">
        <v>24</v>
      </c>
      <c r="K111" s="11" t="s">
        <v>35</v>
      </c>
      <c r="L111" s="83" t="b">
        <v>0</v>
      </c>
      <c r="M111" s="84"/>
      <c r="N111" s="80" t="b">
        <v>0</v>
      </c>
      <c r="O111" s="82"/>
      <c r="P111" s="14"/>
      <c r="Q111" s="82"/>
      <c r="R111" s="82"/>
      <c r="S111" s="84"/>
      <c r="T111" s="85"/>
      <c r="U111" s="20"/>
      <c r="V111" s="86"/>
    </row>
    <row r="112" ht="22.5" customHeight="1">
      <c r="A112" s="78" t="str">
        <f>IFERROR(__xludf.DUMMYFUNCTION("IFERROR(TO_TEXT(INDEX(Base!E:E, MATCH(B112, Base!A:A, 0))), ""mm.dd.yyyy"")
"),"03.12.2026")</f>
        <v>03.12.2026</v>
      </c>
      <c r="B112" s="8" t="s">
        <v>185</v>
      </c>
      <c r="C112" s="61" t="str">
        <f t="array" ref="C112">IFERROR(INDEX(Base!I:I,MATCH(B112,Base!A:A,0)),"Nome do Cliente")
</f>
        <v>JOSE RICARDO FABBI</v>
      </c>
      <c r="D112" s="79" t="str">
        <f t="array" ref="D112">IFERROR(INDEX(Base!G:G,MATCH(B112,Base!A:A,0)),"Modelo da Cond.")</f>
        <v>AC060DXADKG/AZ</v>
      </c>
      <c r="E112" s="79" t="str">
        <f t="array" ref="E112">IFERROR(INDEX(Base!H:H,MATCH(B112,Base!A:A,0)),"N° Serial")</f>
        <v>0315PXBX900232L</v>
      </c>
      <c r="F112" s="79">
        <f t="shared" si="1"/>
        <v>38</v>
      </c>
      <c r="G112" s="11" t="s">
        <v>23</v>
      </c>
      <c r="H112" s="80" t="b">
        <v>1</v>
      </c>
      <c r="I112" s="81">
        <v>46120.0</v>
      </c>
      <c r="J112" s="82" t="s">
        <v>24</v>
      </c>
      <c r="K112" s="11" t="s">
        <v>35</v>
      </c>
      <c r="L112" s="83" t="b">
        <v>0</v>
      </c>
      <c r="M112" s="84"/>
      <c r="N112" s="80" t="b">
        <v>0</v>
      </c>
      <c r="O112" s="82" t="s">
        <v>24</v>
      </c>
      <c r="P112" s="14" t="s">
        <v>24</v>
      </c>
      <c r="Q112" s="82" t="s">
        <v>45</v>
      </c>
      <c r="R112" s="82" t="s">
        <v>45</v>
      </c>
      <c r="S112" s="84"/>
      <c r="T112" s="85"/>
      <c r="U112" s="20"/>
      <c r="V112" s="86"/>
    </row>
    <row r="113" ht="22.5" customHeight="1">
      <c r="A113" s="78" t="str">
        <f>IFERROR(__xludf.DUMMYFUNCTION("IFERROR(TO_TEXT(INDEX(Base!E:E, MATCH(B113, Base!A:A, 0))), ""mm.dd.yyyy"")
"),"03.12.2026")</f>
        <v>03.12.2026</v>
      </c>
      <c r="B113" s="8" t="s">
        <v>186</v>
      </c>
      <c r="C113" s="24" t="str">
        <f t="array" ref="C113">IFERROR(INDEX(Base!I:I,MATCH(B113,Base!A:A,0)),"Nome do Cliente")
</f>
        <v>José Luiz</v>
      </c>
      <c r="D113" s="79" t="str">
        <f t="array" ref="D113">IFERROR(INDEX(Base!G:G,MATCH(B113,Base!A:A,0)),"Modelo da Cond.")</f>
        <v>AJ025ANAPKH2AZ</v>
      </c>
      <c r="E113" s="79" t="str">
        <f t="array" ref="E113">IFERROR(INDEX(Base!H:H,MATCH(B113,Base!A:A,0)),"N° Serial")</f>
        <v>0321PXCX800532A</v>
      </c>
      <c r="F113" s="79">
        <f t="shared" si="1"/>
        <v>38</v>
      </c>
      <c r="G113" s="11" t="s">
        <v>23</v>
      </c>
      <c r="H113" s="80" t="b">
        <v>0</v>
      </c>
      <c r="I113" s="81"/>
      <c r="J113" s="82"/>
      <c r="K113" s="60"/>
      <c r="L113" s="83" t="b">
        <v>0</v>
      </c>
      <c r="M113" s="84"/>
      <c r="N113" s="80" t="b">
        <v>0</v>
      </c>
      <c r="O113" s="82"/>
      <c r="P113" s="14"/>
      <c r="Q113" s="82"/>
      <c r="R113" s="82"/>
      <c r="S113" s="84"/>
      <c r="T113" s="85"/>
      <c r="U113" s="20"/>
      <c r="V113" s="86"/>
    </row>
    <row r="114" ht="22.5" customHeight="1">
      <c r="A114" s="78" t="str">
        <f>IFERROR(__xludf.DUMMYFUNCTION("IFERROR(TO_TEXT(INDEX(Base!E:E, MATCH(B114, Base!A:A, 0))), ""mm.dd.yyyy"")
"),"03.12.2026")</f>
        <v>03.12.2026</v>
      </c>
      <c r="B114" s="8" t="s">
        <v>187</v>
      </c>
      <c r="C114" s="61" t="str">
        <f t="array" ref="C114">IFERROR(INDEX(Base!I:I,MATCH(B114,Base!A:A,0)),"Nome do Cliente")
</f>
        <v>Erica Schiavon</v>
      </c>
      <c r="D114" s="79" t="str">
        <f t="array" ref="D114">IFERROR(INDEX(Base!G:G,MATCH(B114,Base!A:A,0)),"Modelo da Cond.")</f>
        <v>AJ068AXJ3KH/AZ</v>
      </c>
      <c r="E114" s="79" t="str">
        <f t="array" ref="E114">IFERROR(INDEX(Base!H:H,MATCH(B114,Base!A:A,0)),"N° Serial")</f>
        <v>02TKPXBX700155K</v>
      </c>
      <c r="F114" s="79">
        <f t="shared" si="1"/>
        <v>38</v>
      </c>
      <c r="G114" s="11" t="s">
        <v>23</v>
      </c>
      <c r="H114" s="80" t="b">
        <v>1</v>
      </c>
      <c r="I114" s="81">
        <v>46100.0</v>
      </c>
      <c r="J114" s="82" t="s">
        <v>23</v>
      </c>
      <c r="K114" s="11" t="s">
        <v>23</v>
      </c>
      <c r="L114" s="83" t="b">
        <v>0</v>
      </c>
      <c r="M114" s="84"/>
      <c r="N114" s="80" t="b">
        <v>1</v>
      </c>
      <c r="O114" s="82" t="s">
        <v>24</v>
      </c>
      <c r="P114" s="14"/>
      <c r="Q114" s="82" t="s">
        <v>45</v>
      </c>
      <c r="R114" s="82" t="s">
        <v>44</v>
      </c>
      <c r="S114" s="84"/>
      <c r="T114" s="85"/>
      <c r="U114" s="20"/>
      <c r="V114" s="86"/>
    </row>
    <row r="115" ht="22.5" customHeight="1">
      <c r="A115" s="78" t="str">
        <f>IFERROR(__xludf.DUMMYFUNCTION("IFERROR(TO_TEXT(INDEX(Base!E:E, MATCH(B115, Base!A:A, 0))), ""mm.dd.yyyy"")
"),"03.12.2026")</f>
        <v>03.12.2026</v>
      </c>
      <c r="B115" s="8" t="s">
        <v>188</v>
      </c>
      <c r="C115" s="24" t="str">
        <f t="array" ref="C115">IFERROR(INDEX(Base!I:I,MATCH(B115,Base!A:A,0)),"Nome do Cliente")
</f>
        <v>MIlton Dias Pereira Junior</v>
      </c>
      <c r="D115" s="79" t="str">
        <f t="array" ref="D115">IFERROR(INDEX(Base!G:G,MATCH(B115,Base!A:A,0)),"Modelo da Cond.")</f>
        <v>AJ050AXJ2KH/AZ</v>
      </c>
      <c r="E115" s="79" t="str">
        <f t="array" ref="E115">IFERROR(INDEX(Base!H:H,MATCH(B115,Base!A:A,0)),"N° Serial")</f>
        <v>02TGPXDT600162P</v>
      </c>
      <c r="F115" s="79">
        <f t="shared" si="1"/>
        <v>38</v>
      </c>
      <c r="G115" s="11" t="s">
        <v>35</v>
      </c>
      <c r="H115" s="80" t="b">
        <v>0</v>
      </c>
      <c r="I115" s="81"/>
      <c r="J115" s="82"/>
      <c r="K115" s="60"/>
      <c r="L115" s="83" t="b">
        <v>0</v>
      </c>
      <c r="M115" s="84"/>
      <c r="N115" s="92"/>
      <c r="O115" s="93"/>
      <c r="P115" s="14"/>
      <c r="Q115" s="82"/>
      <c r="R115" s="82"/>
      <c r="S115" s="84"/>
      <c r="T115" s="85"/>
      <c r="U115" s="20"/>
      <c r="V115" s="86"/>
    </row>
    <row r="116" ht="22.5" customHeight="1">
      <c r="A116" s="78" t="str">
        <f>IFERROR(__xludf.DUMMYFUNCTION("IFERROR(TO_TEXT(INDEX(Base!E:E, MATCH(B116, Base!A:A, 0))), ""mm.dd.yyyy"")
"),"03.12.2026")</f>
        <v>03.12.2026</v>
      </c>
      <c r="B116" s="8" t="s">
        <v>189</v>
      </c>
      <c r="C116" s="24" t="str">
        <f t="array" ref="C116">IFERROR(INDEX(Base!I:I,MATCH(B116,Base!A:A,0)),"Nome do Cliente")
</f>
        <v>Solange Aparecida Pereira</v>
      </c>
      <c r="D116" s="79" t="str">
        <f t="array" ref="D116">IFERROR(INDEX(Base!G:G,MATCH(B116,Base!A:A,0)),"Modelo da Cond.")</f>
        <v>AJ050AXJ2KH/AZ</v>
      </c>
      <c r="E116" s="79" t="str">
        <f t="array" ref="E116">IFERROR(INDEX(Base!H:H,MATCH(B116,Base!A:A,0)),"N° Serial")</f>
        <v>02TGPXBXA00391H</v>
      </c>
      <c r="F116" s="79">
        <f t="shared" si="1"/>
        <v>38</v>
      </c>
      <c r="G116" s="11" t="s">
        <v>23</v>
      </c>
      <c r="H116" s="80" t="b">
        <v>0</v>
      </c>
      <c r="I116" s="81"/>
      <c r="J116" s="82"/>
      <c r="K116" s="60"/>
      <c r="L116" s="83" t="b">
        <v>0</v>
      </c>
      <c r="M116" s="84"/>
      <c r="N116" s="80" t="b">
        <v>0</v>
      </c>
      <c r="O116" s="82"/>
      <c r="P116" s="14"/>
      <c r="Q116" s="82"/>
      <c r="R116" s="82"/>
      <c r="S116" s="84"/>
      <c r="T116" s="85"/>
      <c r="U116" s="20"/>
      <c r="V116" s="86"/>
    </row>
    <row r="117" ht="22.5" customHeight="1">
      <c r="A117" s="78" t="str">
        <f>IFERROR(__xludf.DUMMYFUNCTION("IFERROR(TO_TEXT(INDEX(Base!E:E, MATCH(B117, Base!A:A, 0))), ""mm.dd.yyyy"")
"),"03.12.2026")</f>
        <v>03.12.2026</v>
      </c>
      <c r="B117" s="8" t="s">
        <v>190</v>
      </c>
      <c r="C117" s="24" t="str">
        <f t="array" ref="C117">IFERROR(INDEX(Base!I:I,MATCH(B117,Base!A:A,0)),"Nome do Cliente")
</f>
        <v>Lais Hoffmann Madureira</v>
      </c>
      <c r="D117" s="79" t="str">
        <f t="array" ref="D117">IFERROR(INDEX(Base!G:G,MATCH(B117,Base!A:A,0)),"Modelo da Cond.")</f>
        <v>AJ050ANAPKH2AZ</v>
      </c>
      <c r="E117" s="79" t="str">
        <f t="array" ref="E117">IFERROR(INDEX(Base!H:H,MATCH(B117,Base!A:A,0)),"N° Serial")</f>
        <v>0323PXCX400165L</v>
      </c>
      <c r="F117" s="79">
        <f t="shared" si="1"/>
        <v>38</v>
      </c>
      <c r="G117" s="11" t="s">
        <v>35</v>
      </c>
      <c r="H117" s="80" t="b">
        <v>0</v>
      </c>
      <c r="I117" s="81"/>
      <c r="J117" s="82"/>
      <c r="K117" s="60"/>
      <c r="L117" s="83" t="b">
        <v>0</v>
      </c>
      <c r="M117" s="84"/>
      <c r="N117" s="80" t="b">
        <v>0</v>
      </c>
      <c r="O117" s="82"/>
      <c r="P117" s="14"/>
      <c r="Q117" s="82"/>
      <c r="R117" s="82"/>
      <c r="S117" s="84"/>
      <c r="T117" s="85"/>
      <c r="U117" s="20"/>
      <c r="V117" s="86"/>
    </row>
    <row r="118" ht="22.5" customHeight="1">
      <c r="A118" s="78" t="str">
        <f>IFERROR(__xludf.DUMMYFUNCTION("IFERROR(TO_TEXT(INDEX(Base!E:E, MATCH(B118, Base!A:A, 0))), ""mm.dd.yyyy"")
"),"03.12.2026")</f>
        <v>03.12.2026</v>
      </c>
      <c r="B118" s="8" t="s">
        <v>191</v>
      </c>
      <c r="C118" s="24" t="str">
        <f t="array" ref="C118">IFERROR(INDEX(Base!I:I,MATCH(B118,Base!A:A,0)),"Nome do Cliente")
</f>
        <v>Lucas Vicente Iosimura</v>
      </c>
      <c r="D118" s="79" t="str">
        <f t="array" ref="D118">IFERROR(INDEX(Base!G:G,MATCH(B118,Base!A:A,0)),"Modelo da Cond.")</f>
        <v>AJ050AXJ2KH/AZ</v>
      </c>
      <c r="E118" s="79" t="str">
        <f t="array" ref="E118">IFERROR(INDEX(Base!H:H,MATCH(B118,Base!A:A,0)),"N° Serial")</f>
        <v>02TGPXBX100046R</v>
      </c>
      <c r="F118" s="79">
        <f t="shared" si="1"/>
        <v>38</v>
      </c>
      <c r="G118" s="11" t="s">
        <v>23</v>
      </c>
      <c r="H118" s="80" t="b">
        <v>0</v>
      </c>
      <c r="I118" s="81"/>
      <c r="J118" s="82"/>
      <c r="K118" s="60"/>
      <c r="L118" s="83" t="b">
        <v>0</v>
      </c>
      <c r="M118" s="84"/>
      <c r="N118" s="80" t="b">
        <v>0</v>
      </c>
      <c r="O118" s="82"/>
      <c r="P118" s="14"/>
      <c r="Q118" s="82"/>
      <c r="R118" s="82"/>
      <c r="S118" s="84"/>
      <c r="T118" s="85"/>
      <c r="U118" s="20"/>
      <c r="V118" s="86"/>
    </row>
    <row r="119" ht="22.5" customHeight="1">
      <c r="A119" s="78" t="str">
        <f>IFERROR(__xludf.DUMMYFUNCTION("IFERROR(TO_TEXT(INDEX(Base!E:E, MATCH(B119, Base!A:A, 0))), ""mm.dd.yyyy"")
"),"03.12.2026")</f>
        <v>03.12.2026</v>
      </c>
      <c r="B119" s="8" t="s">
        <v>192</v>
      </c>
      <c r="C119" s="24" t="str">
        <f t="array" ref="C119">IFERROR(INDEX(Base!I:I,MATCH(B119,Base!A:A,0)),"Nome do Cliente")
</f>
        <v>Jessica Ferrari</v>
      </c>
      <c r="D119" s="79" t="str">
        <f t="array" ref="D119">IFERROR(INDEX(Base!G:G,MATCH(B119,Base!A:A,0)),"Modelo da Cond.")</f>
        <v>AJ025ANAPKH2AZ</v>
      </c>
      <c r="E119" s="79" t="str">
        <f t="array" ref="E119">IFERROR(INDEX(Base!H:H,MATCH(B119,Base!A:A,0)),"N° Serial")</f>
        <v>0321PXCX800697P</v>
      </c>
      <c r="F119" s="79">
        <f t="shared" si="1"/>
        <v>38</v>
      </c>
      <c r="G119" s="11" t="s">
        <v>23</v>
      </c>
      <c r="H119" s="80" t="b">
        <v>0</v>
      </c>
      <c r="I119" s="81"/>
      <c r="J119" s="82"/>
      <c r="K119" s="60"/>
      <c r="L119" s="83" t="b">
        <v>0</v>
      </c>
      <c r="M119" s="84"/>
      <c r="N119" s="80" t="b">
        <v>0</v>
      </c>
      <c r="O119" s="82"/>
      <c r="P119" s="14"/>
      <c r="Q119" s="82"/>
      <c r="R119" s="82"/>
      <c r="S119" s="84"/>
      <c r="T119" s="85"/>
      <c r="U119" s="20"/>
      <c r="V119" s="86"/>
    </row>
    <row r="120" ht="22.5" customHeight="1">
      <c r="A120" s="78" t="str">
        <f>IFERROR(__xludf.DUMMYFUNCTION("IFERROR(TO_TEXT(INDEX(Base!E:E, MATCH(B120, Base!A:A, 0))), ""mm.dd.yyyy"")
"),"03.12.2026")</f>
        <v>03.12.2026</v>
      </c>
      <c r="B120" s="8" t="s">
        <v>193</v>
      </c>
      <c r="C120" s="61" t="str">
        <f t="array" ref="C120">IFERROR(INDEX(Base!I:I,MATCH(B120,Base!A:A,0)),"Nome do Cliente")
</f>
        <v>RUAN MICHEL MORAES</v>
      </c>
      <c r="D120" s="79" t="str">
        <f t="array" ref="D120">IFERROR(INDEX(Base!G:G,MATCH(B120,Base!A:A,0)),"Modelo da Cond.")</f>
        <v>AC060DN4DKG/AZ</v>
      </c>
      <c r="E120" s="79" t="str">
        <f t="array" ref="E120">IFERROR(INDEX(Base!H:H,MATCH(B120,Base!A:A,0)),"N° Serial")</f>
        <v>030ZPXAY200074Z</v>
      </c>
      <c r="F120" s="79">
        <f t="shared" si="1"/>
        <v>38</v>
      </c>
      <c r="G120" s="11" t="s">
        <v>23</v>
      </c>
      <c r="H120" s="80" t="b">
        <v>1</v>
      </c>
      <c r="I120" s="81">
        <v>46113.0</v>
      </c>
      <c r="J120" s="82" t="s">
        <v>24</v>
      </c>
      <c r="K120" s="11" t="s">
        <v>23</v>
      </c>
      <c r="L120" s="83" t="b">
        <v>1</v>
      </c>
      <c r="M120" s="89">
        <v>46113.0</v>
      </c>
      <c r="N120" s="80" t="b">
        <v>1</v>
      </c>
      <c r="O120" s="82" t="s">
        <v>24</v>
      </c>
      <c r="P120" s="14"/>
      <c r="Q120" s="82" t="s">
        <v>45</v>
      </c>
      <c r="R120" s="82" t="s">
        <v>44</v>
      </c>
      <c r="S120" s="84"/>
      <c r="T120" s="85"/>
      <c r="U120" s="20"/>
      <c r="V120" s="86" t="s">
        <v>194</v>
      </c>
    </row>
    <row r="121" ht="22.5" customHeight="1">
      <c r="A121" s="78" t="str">
        <f>IFERROR(__xludf.DUMMYFUNCTION("IFERROR(TO_TEXT(INDEX(Base!E:E, MATCH(B121, Base!A:A, 0))), ""mm.dd.yyyy"")
"),"03.13.2026")</f>
        <v>03.13.2026</v>
      </c>
      <c r="B121" s="8" t="s">
        <v>195</v>
      </c>
      <c r="C121" s="61" t="str">
        <f t="array" ref="C121">IFERROR(INDEX(Base!I:I,MATCH(B121,Base!A:A,0)),"Nome do Cliente")
</f>
        <v>KARINA MANTOAN FERREIRA</v>
      </c>
      <c r="D121" s="79" t="str">
        <f t="array" ref="D121">IFERROR(INDEX(Base!G:G,MATCH(B121,Base!A:A,0)),"Modelo da Cond.")</f>
        <v>AM048ANHPKH/AZ</v>
      </c>
      <c r="E121" s="79" t="str">
        <f t="array" ref="E121">IFERROR(INDEX(Base!H:H,MATCH(B121,Base!A:A,0)),"N° Serial")</f>
        <v>0VZUPALX700047L</v>
      </c>
      <c r="F121" s="79">
        <f t="shared" si="1"/>
        <v>37</v>
      </c>
      <c r="G121" s="11" t="s">
        <v>29</v>
      </c>
      <c r="H121" s="80" t="b">
        <v>1</v>
      </c>
      <c r="I121" s="81">
        <v>46100.0</v>
      </c>
      <c r="J121" s="82" t="s">
        <v>24</v>
      </c>
      <c r="K121" s="11" t="s">
        <v>25</v>
      </c>
      <c r="L121" s="83" t="b">
        <v>0</v>
      </c>
      <c r="M121" s="84"/>
      <c r="N121" s="80" t="b">
        <v>0</v>
      </c>
      <c r="O121" s="82"/>
      <c r="P121" s="14"/>
      <c r="Q121" s="82"/>
      <c r="R121" s="82"/>
      <c r="S121" s="84"/>
      <c r="T121" s="85"/>
      <c r="U121" s="20"/>
      <c r="V121" s="86"/>
    </row>
    <row r="122" ht="22.5" customHeight="1">
      <c r="A122" s="78" t="str">
        <f>IFERROR(__xludf.DUMMYFUNCTION("IFERROR(TO_TEXT(INDEX(Base!E:E, MATCH(B122, Base!A:A, 0))), ""mm.dd.yyyy"")
"),"03.13.2026")</f>
        <v>03.13.2026</v>
      </c>
      <c r="B122" s="8" t="s">
        <v>196</v>
      </c>
      <c r="C122" s="24" t="str">
        <f t="array" ref="C122">IFERROR(INDEX(Base!I:I,MATCH(B122,Base!A:A,0)),"Nome do Cliente")
</f>
        <v>Gustavo Bruggemann</v>
      </c>
      <c r="D122" s="79" t="str">
        <f t="array" ref="D122">IFERROR(INDEX(Base!G:G,MATCH(B122,Base!A:A,0)),"Modelo da Cond.")</f>
        <v>AC060DNCDKG/AZ</v>
      </c>
      <c r="E122" s="79" t="str">
        <f t="array" ref="E122">IFERROR(INDEX(Base!H:H,MATCH(B122,Base!A:A,0)),"N° Serial")</f>
        <v>M000</v>
      </c>
      <c r="F122" s="79">
        <f t="shared" si="1"/>
        <v>37</v>
      </c>
      <c r="G122" s="11" t="s">
        <v>23</v>
      </c>
      <c r="H122" s="80" t="b">
        <v>0</v>
      </c>
      <c r="I122" s="81"/>
      <c r="J122" s="82"/>
      <c r="K122" s="60"/>
      <c r="L122" s="83" t="b">
        <v>0</v>
      </c>
      <c r="M122" s="84"/>
      <c r="N122" s="80" t="b">
        <v>0</v>
      </c>
      <c r="O122" s="82"/>
      <c r="P122" s="14"/>
      <c r="Q122" s="82"/>
      <c r="R122" s="82"/>
      <c r="S122" s="84"/>
      <c r="T122" s="85"/>
      <c r="U122" s="20"/>
      <c r="V122" s="86"/>
    </row>
    <row r="123" ht="22.5" customHeight="1">
      <c r="A123" s="78" t="str">
        <f>IFERROR(__xludf.DUMMYFUNCTION("IFERROR(TO_TEXT(INDEX(Base!E:E, MATCH(B123, Base!A:A, 0))), ""mm.dd.yyyy"")
"),"03.16.2026")</f>
        <v>03.16.2026</v>
      </c>
      <c r="B123" s="8" t="s">
        <v>197</v>
      </c>
      <c r="C123" s="24" t="str">
        <f t="array" ref="C123">IFERROR(INDEX(Base!I:I,MATCH(B123,Base!A:A,0)),"Nome do Cliente")
</f>
        <v>Estevao Alves de Lucena</v>
      </c>
      <c r="D123" s="79" t="str">
        <f t="array" ref="D123">IFERROR(INDEX(Base!G:G,MATCH(B123,Base!A:A,0)),"Modelo da Cond.")</f>
        <v>AJ025ANAPKH/AZ</v>
      </c>
      <c r="E123" s="79" t="str">
        <f t="array" ref="E123">IFERROR(INDEX(Base!H:H,MATCH(B123,Base!A:A,0)),"N° Serial")</f>
        <v>02TDPXCY400298A</v>
      </c>
      <c r="F123" s="79">
        <f t="shared" si="1"/>
        <v>34</v>
      </c>
      <c r="G123" s="11" t="s">
        <v>23</v>
      </c>
      <c r="H123" s="80" t="b">
        <v>0</v>
      </c>
      <c r="I123" s="81"/>
      <c r="J123" s="82"/>
      <c r="K123" s="60"/>
      <c r="L123" s="83" t="b">
        <v>0</v>
      </c>
      <c r="M123" s="84"/>
      <c r="N123" s="80" t="b">
        <v>0</v>
      </c>
      <c r="O123" s="82"/>
      <c r="P123" s="14"/>
      <c r="Q123" s="82"/>
      <c r="R123" s="82"/>
      <c r="S123" s="84"/>
      <c r="T123" s="85"/>
      <c r="U123" s="20"/>
      <c r="V123" s="86"/>
    </row>
    <row r="124" ht="22.5" customHeight="1">
      <c r="A124" s="78" t="str">
        <f>IFERROR(__xludf.DUMMYFUNCTION("IFERROR(TO_TEXT(INDEX(Base!E:E, MATCH(B124, Base!A:A, 0))), ""mm.dd.yyyy"")
"),"03.16.2026")</f>
        <v>03.16.2026</v>
      </c>
      <c r="B124" s="8" t="s">
        <v>198</v>
      </c>
      <c r="C124" s="22" t="str">
        <f t="array" ref="C124">IFERROR(INDEX(Base!I:I,MATCH(B124,Base!A:A,0)),"Nome do Cliente")
</f>
        <v>LTX CLIMATIZACAO LTDA</v>
      </c>
      <c r="D124" s="79" t="str">
        <f t="array" ref="D124">IFERROR(INDEX(Base!G:G,MATCH(B124,Base!A:A,0)),"Modelo da Cond.")</f>
        <v>AM280AXVANC/EA</v>
      </c>
      <c r="E124" s="79" t="str">
        <f t="array" ref="E124">IFERROR(INDEX(Base!H:H,MATCH(B124,Base!A:A,0)),"N° Serial")</f>
        <v>0YBBPAOY100004X</v>
      </c>
      <c r="F124" s="79">
        <f t="shared" si="1"/>
        <v>34</v>
      </c>
      <c r="G124" s="11" t="s">
        <v>23</v>
      </c>
      <c r="H124" s="80" t="b">
        <v>1</v>
      </c>
      <c r="I124" s="81">
        <v>46113.0</v>
      </c>
      <c r="J124" s="82"/>
      <c r="K124" s="60"/>
      <c r="L124" s="83" t="b">
        <v>0</v>
      </c>
      <c r="M124" s="84"/>
      <c r="N124" s="80" t="b">
        <v>0</v>
      </c>
      <c r="O124" s="82"/>
      <c r="P124" s="14"/>
      <c r="Q124" s="82"/>
      <c r="R124" s="82"/>
      <c r="S124" s="84"/>
      <c r="T124" s="85"/>
      <c r="U124" s="20"/>
      <c r="V124" s="86"/>
    </row>
    <row r="125" ht="22.5" customHeight="1">
      <c r="A125" s="78" t="str">
        <f>IFERROR(__xludf.DUMMYFUNCTION("IFERROR(TO_TEXT(INDEX(Base!E:E, MATCH(B125, Base!A:A, 0))), ""mm.dd.yyyy"")
"),"03.16.2026")</f>
        <v>03.16.2026</v>
      </c>
      <c r="B125" s="8" t="s">
        <v>199</v>
      </c>
      <c r="C125" s="22" t="str">
        <f t="array" ref="C125">IFERROR(INDEX(Base!I:I,MATCH(B125,Base!A:A,0)),"Nome do Cliente")
</f>
        <v>BR CAPITAL DISTRIBUIDORA DE TIT</v>
      </c>
      <c r="D125" s="79" t="str">
        <f t="array" ref="D125">IFERROR(INDEX(Base!G:G,MATCH(B125,Base!A:A,0)),"Modelo da Cond.")</f>
        <v>AM036KN4DCH/AA</v>
      </c>
      <c r="E125" s="79" t="str">
        <f t="array" ref="E125">IFERROR(INDEX(Base!H:H,MATCH(B125,Base!A:A,0)),"N° Serial")</f>
        <v>M000</v>
      </c>
      <c r="F125" s="79">
        <f t="shared" si="1"/>
        <v>34</v>
      </c>
      <c r="G125" s="11" t="s">
        <v>29</v>
      </c>
      <c r="H125" s="80" t="b">
        <v>1</v>
      </c>
      <c r="I125" s="81">
        <v>46118.0</v>
      </c>
      <c r="J125" s="82" t="s">
        <v>24</v>
      </c>
      <c r="K125" s="11" t="s">
        <v>29</v>
      </c>
      <c r="L125" s="83" t="b">
        <v>1</v>
      </c>
      <c r="M125" s="89">
        <v>46127.0</v>
      </c>
      <c r="N125" s="80" t="b">
        <v>0</v>
      </c>
      <c r="O125" s="82"/>
      <c r="P125" s="14"/>
      <c r="Q125" s="82"/>
      <c r="R125" s="82"/>
      <c r="S125" s="84"/>
      <c r="T125" s="85"/>
      <c r="U125" s="20"/>
      <c r="V125" s="86"/>
    </row>
    <row r="126" ht="22.5" customHeight="1">
      <c r="A126" s="78" t="str">
        <f>IFERROR(__xludf.DUMMYFUNCTION("IFERROR(TO_TEXT(INDEX(Base!E:E, MATCH(B126, Base!A:A, 0))), ""mm.dd.yyyy"")
"),"02.11.2026")</f>
        <v>02.11.2026</v>
      </c>
      <c r="B126" s="8" t="s">
        <v>200</v>
      </c>
      <c r="C126" s="24" t="str">
        <f t="array" ref="C126">IFERROR(INDEX(Base!I:I,MATCH(B126,Base!A:A,0)),"Nome do Cliente")
</f>
        <v>Leonardo Biar</v>
      </c>
      <c r="D126" s="79" t="str">
        <f t="array" ref="D126">IFERROR(INDEX(Base!G:G,MATCH(B126,Base!A:A,0)),"Modelo da Cond.")</f>
        <v>AC024DXADKG/AZ</v>
      </c>
      <c r="E126" s="79" t="str">
        <f t="array" ref="E126">IFERROR(INDEX(Base!H:H,MATCH(B126,Base!A:A,0)),"N° Serial")</f>
        <v>M000</v>
      </c>
      <c r="F126" s="79">
        <f t="shared" si="1"/>
        <v>67</v>
      </c>
      <c r="G126" s="11" t="s">
        <v>23</v>
      </c>
      <c r="H126" s="80"/>
      <c r="I126" s="81"/>
      <c r="J126" s="82"/>
      <c r="K126" s="60"/>
      <c r="L126" s="83" t="b">
        <v>0</v>
      </c>
      <c r="M126" s="84"/>
      <c r="N126" s="80" t="b">
        <v>0</v>
      </c>
      <c r="O126" s="82"/>
      <c r="P126" s="14"/>
      <c r="Q126" s="82"/>
      <c r="R126" s="82"/>
      <c r="S126" s="84"/>
      <c r="T126" s="85"/>
      <c r="U126" s="20"/>
      <c r="V126" s="86"/>
    </row>
    <row r="127" ht="22.5" customHeight="1">
      <c r="A127" s="78" t="str">
        <f>IFERROR(__xludf.DUMMYFUNCTION("IFERROR(TO_TEXT(INDEX(Base!E:E, MATCH(B127, Base!A:A, 0))), ""mm.dd.yyyy"")
"),"03.23.2026")</f>
        <v>03.23.2026</v>
      </c>
      <c r="B127" s="8" t="s">
        <v>201</v>
      </c>
      <c r="C127" s="24" t="str">
        <f t="array" ref="C127">IFERROR(INDEX(Base!I:I,MATCH(B127,Base!A:A,0)),"Nome do Cliente")
</f>
        <v>ZHIAG GENFEN</v>
      </c>
      <c r="D127" s="79" t="str">
        <f t="array" ref="D127">IFERROR(INDEX(Base!G:G,MATCH(B127,Base!A:A,0)),"Modelo da Cond.")</f>
        <v>AJ100AXJ5KH/AZ</v>
      </c>
      <c r="E127" s="79" t="str">
        <f t="array" ref="E127">IFERROR(INDEX(Base!H:H,MATCH(B127,Base!A:A,0)),"N° Serial")</f>
        <v>BLK6P3CX400056W</v>
      </c>
      <c r="F127" s="79">
        <f t="shared" si="1"/>
        <v>27</v>
      </c>
      <c r="G127" s="11" t="s">
        <v>25</v>
      </c>
      <c r="H127" s="80" t="b">
        <v>0</v>
      </c>
      <c r="I127" s="81"/>
      <c r="J127" s="82"/>
      <c r="K127" s="60"/>
      <c r="L127" s="83" t="b">
        <v>0</v>
      </c>
      <c r="M127" s="84"/>
      <c r="N127" s="80" t="b">
        <v>0</v>
      </c>
      <c r="O127" s="82"/>
      <c r="P127" s="14"/>
      <c r="Q127" s="82"/>
      <c r="R127" s="82"/>
      <c r="S127" s="84"/>
      <c r="T127" s="85"/>
      <c r="U127" s="20"/>
      <c r="V127" s="86"/>
    </row>
    <row r="128" ht="22.5" customHeight="1">
      <c r="A128" s="78" t="str">
        <f>IFERROR(__xludf.DUMMYFUNCTION("IFERROR(TO_TEXT(INDEX(Base!E:E, MATCH(B128, Base!A:A, 0))), ""mm.dd.yyyy"")
"),"03.24.2026")</f>
        <v>03.24.2026</v>
      </c>
      <c r="B128" s="8" t="s">
        <v>202</v>
      </c>
      <c r="C128" s="61" t="str">
        <f t="array" ref="C128">IFERROR(INDEX(Base!I:I,MATCH(B128,Base!A:A,0)),"Nome do Cliente")
</f>
        <v>Felipe Jardim Prates Ferreira</v>
      </c>
      <c r="D128" s="79" t="str">
        <f t="array" ref="D128">IFERROR(INDEX(Base!G:G,MATCH(B128,Base!A:A,0)),"Modelo da Cond.")</f>
        <v>AM030NN4DCH/AA</v>
      </c>
      <c r="E128" s="79" t="str">
        <f t="array" ref="E128">IFERROR(INDEX(Base!H:H,MATCH(B128,Base!A:A,0)),"N° Serial")</f>
        <v>0T8FPAGY300018M</v>
      </c>
      <c r="F128" s="79">
        <f t="shared" si="1"/>
        <v>26</v>
      </c>
      <c r="G128" s="11" t="s">
        <v>29</v>
      </c>
      <c r="H128" s="80" t="b">
        <v>1</v>
      </c>
      <c r="I128" s="81">
        <v>46119.0</v>
      </c>
      <c r="J128" s="82" t="s">
        <v>23</v>
      </c>
      <c r="K128" s="11" t="s">
        <v>23</v>
      </c>
      <c r="L128" s="83" t="b">
        <v>0</v>
      </c>
      <c r="M128" s="84"/>
      <c r="N128" s="80" t="b">
        <v>1</v>
      </c>
      <c r="O128" s="82" t="s">
        <v>24</v>
      </c>
      <c r="P128" s="14"/>
      <c r="Q128" s="82" t="s">
        <v>32</v>
      </c>
      <c r="R128" s="82" t="s">
        <v>44</v>
      </c>
      <c r="S128" s="84"/>
      <c r="T128" s="85"/>
      <c r="U128" s="20"/>
      <c r="V128" s="86" t="s">
        <v>203</v>
      </c>
    </row>
    <row r="129" ht="22.5" customHeight="1">
      <c r="A129" s="78" t="str">
        <f>IFERROR(__xludf.DUMMYFUNCTION("IFERROR(TO_TEXT(INDEX(Base!E:E, MATCH(B129, Base!A:A, 0))), ""mm.dd.yyyy"")
"),"03.25.2026")</f>
        <v>03.25.2026</v>
      </c>
      <c r="B129" s="8" t="s">
        <v>204</v>
      </c>
      <c r="C129" s="22" t="str">
        <f t="array" ref="C129">IFERROR(INDEX(Base!I:I,MATCH(B129,Base!A:A,0)),"Nome do Cliente")
</f>
        <v>AMANDA BENTO</v>
      </c>
      <c r="D129" s="79" t="str">
        <f t="array" ref="D129">IFERROR(INDEX(Base!G:G,MATCH(B129,Base!A:A,0)),"Modelo da Cond.")</f>
        <v>AR09DYFAAWKNAZ</v>
      </c>
      <c r="E129" s="79" t="str">
        <f t="array" ref="E129">IFERROR(INDEX(Base!H:H,MATCH(B129,Base!A:A,0)),"N° Serial")</f>
        <v>032CPXCXC02134A</v>
      </c>
      <c r="F129" s="79">
        <f t="shared" si="1"/>
        <v>25</v>
      </c>
      <c r="G129" s="11" t="s">
        <v>23</v>
      </c>
      <c r="H129" s="80" t="b">
        <v>1</v>
      </c>
      <c r="I129" s="81">
        <v>46126.0</v>
      </c>
      <c r="J129" s="82"/>
      <c r="K129" s="60"/>
      <c r="L129" s="83" t="b">
        <v>0</v>
      </c>
      <c r="M129" s="84"/>
      <c r="N129" s="80" t="b">
        <v>0</v>
      </c>
      <c r="O129" s="82"/>
      <c r="P129" s="14"/>
      <c r="Q129" s="82"/>
      <c r="R129" s="82"/>
      <c r="S129" s="84"/>
      <c r="T129" s="85"/>
      <c r="U129" s="20"/>
      <c r="V129" s="86"/>
    </row>
    <row r="130" ht="22.5" customHeight="1">
      <c r="A130" s="78" t="str">
        <f>IFERROR(__xludf.DUMMYFUNCTION("IFERROR(TO_TEXT(INDEX(Base!E:E, MATCH(B130, Base!A:A, 0))), ""mm.dd.yyyy"")
"),"03.24.2026")</f>
        <v>03.24.2026</v>
      </c>
      <c r="B130" s="8" t="s">
        <v>205</v>
      </c>
      <c r="C130" s="24" t="str">
        <f t="array" ref="C130">IFERROR(INDEX(Base!I:I,MATCH(B130,Base!A:A,0)),"Nome do Cliente")
</f>
        <v>Diogo Sesti</v>
      </c>
      <c r="D130" s="79" t="str">
        <f t="array" ref="D130">IFERROR(INDEX(Base!G:G,MATCH(B130,Base!A:A,0)),"Modelo da Cond.")</f>
        <v>AR12DXFAAWKNAZ</v>
      </c>
      <c r="E130" s="79" t="str">
        <f t="array" ref="E130">IFERROR(INDEX(Base!H:H,MATCH(B130,Base!A:A,0)),"N° Serial")</f>
        <v>M000</v>
      </c>
      <c r="F130" s="79">
        <f t="shared" si="1"/>
        <v>26</v>
      </c>
      <c r="G130" s="11" t="s">
        <v>23</v>
      </c>
      <c r="H130" s="80" t="b">
        <v>1</v>
      </c>
      <c r="I130" s="81">
        <v>46108.0</v>
      </c>
      <c r="J130" s="82" t="s">
        <v>24</v>
      </c>
      <c r="K130" s="11" t="s">
        <v>29</v>
      </c>
      <c r="L130" s="83" t="b">
        <v>1</v>
      </c>
      <c r="M130" s="89">
        <v>46122.0</v>
      </c>
      <c r="N130" s="80" t="b">
        <v>1</v>
      </c>
      <c r="O130" s="82"/>
      <c r="P130" s="14"/>
      <c r="Q130" s="82"/>
      <c r="R130" s="82"/>
      <c r="S130" s="84"/>
      <c r="T130" s="85"/>
      <c r="U130" s="20"/>
      <c r="V130" s="86" t="s">
        <v>206</v>
      </c>
    </row>
    <row r="131" ht="22.5" customHeight="1">
      <c r="A131" s="78" t="str">
        <f>IFERROR(__xludf.DUMMYFUNCTION("IFERROR(TO_TEXT(INDEX(Base!E:E, MATCH(B131, Base!A:A, 0))), ""mm.dd.yyyy"")
"),"03.26.2026")</f>
        <v>03.26.2026</v>
      </c>
      <c r="B131" s="8" t="s">
        <v>207</v>
      </c>
      <c r="C131" s="61" t="str">
        <f t="array" ref="C131">IFERROR(INDEX(Base!I:I,MATCH(B131,Base!A:A,0)),"Nome do Cliente")
</f>
        <v>Gorete Oliveira Feldman</v>
      </c>
      <c r="D131" s="79" t="str">
        <f t="array" ref="D131">IFERROR(INDEX(Base!G:G,MATCH(B131,Base!A:A,0)),"Modelo da Cond.")</f>
        <v>AJ080AXJ4KH/AZ</v>
      </c>
      <c r="E131" s="79" t="str">
        <f t="array" ref="E131">IFERROR(INDEX(Base!H:H,MATCH(B131,Base!A:A,0)),"N° Serial")</f>
        <v>02TMPXBX900330J</v>
      </c>
      <c r="F131" s="79">
        <f t="shared" si="1"/>
        <v>24</v>
      </c>
      <c r="G131" s="11" t="s">
        <v>23</v>
      </c>
      <c r="H131" s="80" t="b">
        <v>1</v>
      </c>
      <c r="I131" s="81">
        <v>46126.0</v>
      </c>
      <c r="J131" s="82" t="s">
        <v>23</v>
      </c>
      <c r="K131" s="11" t="s">
        <v>23</v>
      </c>
      <c r="L131" s="83" t="b">
        <v>0</v>
      </c>
      <c r="M131" s="84"/>
      <c r="N131" s="80" t="b">
        <v>1</v>
      </c>
      <c r="O131" s="82" t="s">
        <v>24</v>
      </c>
      <c r="P131" s="14" t="s">
        <v>23</v>
      </c>
      <c r="Q131" s="82" t="s">
        <v>45</v>
      </c>
      <c r="R131" s="82" t="s">
        <v>44</v>
      </c>
      <c r="S131" s="84"/>
      <c r="T131" s="85"/>
      <c r="U131" s="20"/>
      <c r="V131" s="86"/>
    </row>
    <row r="132" ht="22.5" customHeight="1">
      <c r="A132" s="78" t="str">
        <f>IFERROR(__xludf.DUMMYFUNCTION("IFERROR(TO_TEXT(INDEX(Base!E:E, MATCH(B132, Base!A:A, 0))), ""mm.dd.yyyy"")
"),"03.26.2026")</f>
        <v>03.26.2026</v>
      </c>
      <c r="B132" s="8" t="s">
        <v>208</v>
      </c>
      <c r="C132" s="61" t="str">
        <f t="array" ref="C132">IFERROR(INDEX(Base!I:I,MATCH(B132,Base!A:A,0)),"Nome do Cliente")
</f>
        <v>Luis Alfredo Olbertz</v>
      </c>
      <c r="D132" s="79" t="str">
        <f t="array" ref="D132">IFERROR(INDEX(Base!G:G,MATCH(B132,Base!A:A,0)),"Modelo da Cond.")</f>
        <v>AJ025ANAPKH2AZ</v>
      </c>
      <c r="E132" s="79" t="str">
        <f t="array" ref="E132">IFERROR(INDEX(Base!H:H,MATCH(B132,Base!A:A,0)),"N° Serial")</f>
        <v>0321PXAX600359L</v>
      </c>
      <c r="F132" s="79">
        <f t="shared" si="1"/>
        <v>24</v>
      </c>
      <c r="G132" s="11" t="s">
        <v>23</v>
      </c>
      <c r="H132" s="80" t="b">
        <v>1</v>
      </c>
      <c r="I132" s="81">
        <v>46122.0</v>
      </c>
      <c r="J132" s="82" t="s">
        <v>24</v>
      </c>
      <c r="K132" s="11" t="s">
        <v>35</v>
      </c>
      <c r="L132" s="83" t="b">
        <v>0</v>
      </c>
      <c r="M132" s="84"/>
      <c r="N132" s="80" t="b">
        <v>0</v>
      </c>
      <c r="O132" s="82"/>
      <c r="P132" s="14"/>
      <c r="Q132" s="82"/>
      <c r="R132" s="82"/>
      <c r="S132" s="84"/>
      <c r="T132" s="85"/>
      <c r="U132" s="20"/>
      <c r="V132" s="86"/>
    </row>
    <row r="133" ht="22.5" customHeight="1">
      <c r="A133" s="78" t="str">
        <f>IFERROR(__xludf.DUMMYFUNCTION("IFERROR(TO_TEXT(INDEX(Base!E:E, MATCH(B133, Base!A:A, 0))), ""mm.dd.yyyy"")
"),"03.30.2026")</f>
        <v>03.30.2026</v>
      </c>
      <c r="B133" s="94" t="s">
        <v>209</v>
      </c>
      <c r="C133" s="61" t="str">
        <f t="array" ref="C133">IFERROR(INDEX(Base!I:I,MATCH(B133,Base!A:A,0)),"Nome do Cliente")
</f>
        <v>Luis Alfredo Olbertz</v>
      </c>
      <c r="D133" s="79" t="str">
        <f t="array" ref="D133">IFERROR(INDEX(Base!G:G,MATCH(B133,Base!A:A,0)),"Modelo da Cond.")</f>
        <v>AJ050AXJ2KH/AZ</v>
      </c>
      <c r="E133" s="79" t="str">
        <f t="array" ref="E133">IFERROR(INDEX(Base!H:H,MATCH(B133,Base!A:A,0)),"N° Serial")</f>
        <v>02TGPXDX700267R</v>
      </c>
      <c r="F133" s="79">
        <f t="shared" si="1"/>
        <v>20</v>
      </c>
      <c r="G133" s="11" t="s">
        <v>23</v>
      </c>
      <c r="H133" s="80" t="b">
        <v>1</v>
      </c>
      <c r="I133" s="81">
        <v>46122.0</v>
      </c>
      <c r="J133" s="82" t="s">
        <v>24</v>
      </c>
      <c r="K133" s="11" t="s">
        <v>35</v>
      </c>
      <c r="L133" s="83" t="b">
        <v>0</v>
      </c>
      <c r="M133" s="84"/>
      <c r="N133" s="80" t="b">
        <v>0</v>
      </c>
      <c r="O133" s="88"/>
      <c r="P133" s="14"/>
      <c r="Q133" s="88"/>
      <c r="R133" s="88"/>
      <c r="S133" s="84"/>
      <c r="T133" s="85"/>
      <c r="U133" s="20"/>
      <c r="V133" s="86"/>
    </row>
    <row r="134" ht="22.5" customHeight="1">
      <c r="A134" s="78" t="str">
        <f>IFERROR(__xludf.DUMMYFUNCTION("IFERROR(TO_TEXT(INDEX(Base!E:E, MATCH(B134, Base!A:A, 0))), ""mm.dd.yyyy"")
"),"03.27.2026")</f>
        <v>03.27.2026</v>
      </c>
      <c r="B134" s="8" t="s">
        <v>210</v>
      </c>
      <c r="C134" s="24" t="str">
        <f t="array" ref="C134">IFERROR(INDEX(Base!I:I,MATCH(B134,Base!A:A,0)),"Nome do Cliente")
</f>
        <v>JOAO MARTINS FELCAR</v>
      </c>
      <c r="D134" s="79" t="str">
        <f t="array" ref="D134">IFERROR(INDEX(Base!G:G,MATCH(B134,Base!A:A,0)),"Modelo da Cond.")</f>
        <v>MIM-H04N</v>
      </c>
      <c r="E134" s="79" t="str">
        <f t="array" ref="E134">IFERROR(INDEX(Base!H:H,MATCH(B134,Base!A:A,0)),"N° Serial")</f>
        <v>B0791030519AE01</v>
      </c>
      <c r="F134" s="79">
        <f t="shared" si="1"/>
        <v>23</v>
      </c>
      <c r="G134" s="11" t="s">
        <v>35</v>
      </c>
      <c r="H134" s="80" t="b">
        <v>0</v>
      </c>
      <c r="I134" s="81"/>
      <c r="J134" s="82"/>
      <c r="K134" s="60"/>
      <c r="L134" s="83" t="b">
        <v>0</v>
      </c>
      <c r="M134" s="84"/>
      <c r="N134" s="80" t="b">
        <v>0</v>
      </c>
      <c r="O134" s="82"/>
      <c r="P134" s="14"/>
      <c r="Q134" s="82"/>
      <c r="R134" s="82"/>
      <c r="S134" s="84"/>
      <c r="T134" s="85"/>
      <c r="U134" s="20"/>
      <c r="V134" s="86"/>
    </row>
    <row r="135" ht="22.5" customHeight="1">
      <c r="A135" s="78" t="str">
        <f>IFERROR(__xludf.DUMMYFUNCTION("IFERROR(TO_TEXT(INDEX(Base!E:E, MATCH(B135, Base!A:A, 0))), ""mm.dd.yyyy"")
"),"03.27.2026")</f>
        <v>03.27.2026</v>
      </c>
      <c r="B135" s="8" t="s">
        <v>211</v>
      </c>
      <c r="C135" s="22" t="str">
        <f t="array" ref="C135">IFERROR(INDEX(Base!I:I,MATCH(B135,Base!A:A,0)),"Nome do Cliente")
</f>
        <v>Teilor Miotto</v>
      </c>
      <c r="D135" s="79" t="str">
        <f t="array" ref="D135">IFERROR(INDEX(Base!G:G,MATCH(B135,Base!A:A,0)),"Modelo da Cond.")</f>
        <v>AJ100DXJ5KH/AZ</v>
      </c>
      <c r="E135" s="79" t="str">
        <f t="array" ref="E135">IFERROR(INDEX(Base!H:H,MATCH(B135,Base!A:A,0)),"N° Serial")</f>
        <v>0344PXBYA00196A</v>
      </c>
      <c r="F135" s="79">
        <f t="shared" si="1"/>
        <v>23</v>
      </c>
      <c r="G135" s="11" t="s">
        <v>23</v>
      </c>
      <c r="H135" s="80" t="b">
        <v>1</v>
      </c>
      <c r="I135" s="81">
        <v>46129.0</v>
      </c>
      <c r="J135" s="82"/>
      <c r="K135" s="60"/>
      <c r="L135" s="83" t="b">
        <v>0</v>
      </c>
      <c r="M135" s="84"/>
      <c r="N135" s="80" t="b">
        <v>0</v>
      </c>
      <c r="O135" s="82"/>
      <c r="P135" s="14"/>
      <c r="Q135" s="82"/>
      <c r="R135" s="82"/>
      <c r="S135" s="84"/>
      <c r="T135" s="85"/>
      <c r="U135" s="20"/>
      <c r="V135" s="86"/>
    </row>
    <row r="136" ht="22.5" customHeight="1">
      <c r="A136" s="78" t="str">
        <f>IFERROR(__xludf.DUMMYFUNCTION("IFERROR(TO_TEXT(INDEX(Base!E:E, MATCH(B136, Base!A:A, 0))), ""mm.dd.yyyy"")
"),"03.27.2026")</f>
        <v>03.27.2026</v>
      </c>
      <c r="B136" s="8" t="s">
        <v>212</v>
      </c>
      <c r="C136" s="24" t="str">
        <f t="array" ref="C136">IFERROR(INDEX(Base!I:I,MATCH(B136,Base!A:A,0)),"Nome do Cliente")
</f>
        <v>Grasielle Hopfer</v>
      </c>
      <c r="D136" s="79" t="str">
        <f t="array" ref="D136">IFERROR(INDEX(Base!G:G,MATCH(B136,Base!A:A,0)),"Modelo da Cond.")</f>
        <v>AJ050AXJ2KH/AZ</v>
      </c>
      <c r="E136" s="79" t="str">
        <f t="array" ref="E136">IFERROR(INDEX(Base!H:H,MATCH(B136,Base!A:A,0)),"N° Serial")</f>
        <v>M000</v>
      </c>
      <c r="F136" s="79">
        <f t="shared" si="1"/>
        <v>23</v>
      </c>
      <c r="G136" s="11" t="s">
        <v>23</v>
      </c>
      <c r="H136" s="80" t="b">
        <v>0</v>
      </c>
      <c r="I136" s="81"/>
      <c r="J136" s="82"/>
      <c r="K136" s="60"/>
      <c r="L136" s="83" t="b">
        <v>0</v>
      </c>
      <c r="M136" s="84"/>
      <c r="N136" s="80" t="b">
        <v>0</v>
      </c>
      <c r="O136" s="82"/>
      <c r="P136" s="14"/>
      <c r="Q136" s="82"/>
      <c r="R136" s="82"/>
      <c r="S136" s="84"/>
      <c r="T136" s="85"/>
      <c r="U136" s="20"/>
      <c r="V136" s="86"/>
    </row>
    <row r="137" ht="22.5" customHeight="1">
      <c r="A137" s="78" t="str">
        <f>IFERROR(__xludf.DUMMYFUNCTION("IFERROR(TO_TEXT(INDEX(Base!E:E, MATCH(B137, Base!A:A, 0))), ""mm.dd.yyyy"")
"),"03.27.2026")</f>
        <v>03.27.2026</v>
      </c>
      <c r="B137" s="8" t="s">
        <v>213</v>
      </c>
      <c r="C137" s="24" t="str">
        <f t="array" ref="C137">IFERROR(INDEX(Base!I:I,MATCH(B137,Base!A:A,0)),"Nome do Cliente")
</f>
        <v>Ieda Aparecida Dos Santos Silva</v>
      </c>
      <c r="D137" s="79" t="str">
        <f t="array" ref="D137">IFERROR(INDEX(Base!G:G,MATCH(B137,Base!A:A,0)),"Modelo da Cond.")</f>
        <v>AJ050ANAPKH2AZ</v>
      </c>
      <c r="E137" s="79" t="str">
        <f t="array" ref="E137">IFERROR(INDEX(Base!H:H,MATCH(B137,Base!A:A,0)),"N° Serial")</f>
        <v>M000</v>
      </c>
      <c r="F137" s="79">
        <f t="shared" si="1"/>
        <v>23</v>
      </c>
      <c r="G137" s="11" t="s">
        <v>23</v>
      </c>
      <c r="H137" s="80" t="b">
        <v>0</v>
      </c>
      <c r="I137" s="81"/>
      <c r="J137" s="82"/>
      <c r="K137" s="60"/>
      <c r="L137" s="83" t="b">
        <v>0</v>
      </c>
      <c r="M137" s="84"/>
      <c r="N137" s="80" t="b">
        <v>0</v>
      </c>
      <c r="O137" s="82"/>
      <c r="P137" s="14"/>
      <c r="Q137" s="82"/>
      <c r="R137" s="82"/>
      <c r="S137" s="84"/>
      <c r="T137" s="85"/>
      <c r="U137" s="20"/>
      <c r="V137" s="86"/>
    </row>
    <row r="138" ht="22.5" customHeight="1">
      <c r="A138" s="78" t="str">
        <f>IFERROR(__xludf.DUMMYFUNCTION("IFERROR(TO_TEXT(INDEX(Base!E:E, MATCH(B138, Base!A:A, 0))), ""mm.dd.yyyy"")
"),"04.02.2026")</f>
        <v>04.02.2026</v>
      </c>
      <c r="B138" s="8" t="s">
        <v>214</v>
      </c>
      <c r="C138" s="24" t="str">
        <f t="array" ref="C138">IFERROR(INDEX(Base!I:I,MATCH(B138,Base!A:A,0)),"Nome do Cliente")
</f>
        <v>BRUNO DE CARVALHO MARTOREL</v>
      </c>
      <c r="D138" s="79" t="str">
        <f t="array" ref="D138">IFERROR(INDEX(Base!G:G,MATCH(B138,Base!A:A,0)),"Modelo da Cond.")</f>
        <v>AJ068AXJ3KH/AZ</v>
      </c>
      <c r="E138" s="79" t="str">
        <f t="array" ref="E138">IFERROR(INDEX(Base!H:H,MATCH(B138,Base!A:A,0)),"N° Serial")</f>
        <v>02TKPXBX100020P</v>
      </c>
      <c r="F138" s="79">
        <f t="shared" si="1"/>
        <v>17</v>
      </c>
      <c r="G138" s="11" t="s">
        <v>23</v>
      </c>
      <c r="H138" s="80" t="b">
        <v>0</v>
      </c>
      <c r="I138" s="81"/>
      <c r="J138" s="82"/>
      <c r="K138" s="60"/>
      <c r="L138" s="83" t="b">
        <v>0</v>
      </c>
      <c r="M138" s="84"/>
      <c r="N138" s="80" t="b">
        <v>0</v>
      </c>
      <c r="O138" s="88"/>
      <c r="P138" s="14"/>
      <c r="Q138" s="88"/>
      <c r="R138" s="88"/>
      <c r="S138" s="84"/>
      <c r="T138" s="85"/>
      <c r="U138" s="20"/>
      <c r="V138" s="86"/>
    </row>
    <row r="139" ht="22.5" customHeight="1">
      <c r="A139" s="78" t="str">
        <f>IFERROR(__xludf.DUMMYFUNCTION("IFERROR(TO_TEXT(INDEX(Base!E:E, MATCH(B139, Base!A:A, 0))), ""mm.dd.yyyy"")
"),"03.30.2026")</f>
        <v>03.30.2026</v>
      </c>
      <c r="B139" s="95" t="s">
        <v>215</v>
      </c>
      <c r="C139" s="96" t="s">
        <v>216</v>
      </c>
      <c r="D139" s="79" t="str">
        <f t="array" ref="D139">IFERROR(INDEX(Base!G:G,MATCH(B139,Base!A:A,0)),"Modelo da Cond.")</f>
        <v>AM024NN1DCH/AZ</v>
      </c>
      <c r="E139" s="79" t="str">
        <f t="array" ref="E139">IFERROR(INDEX(Base!H:H,MATCH(B139,Base!A:A,0)),"N° Serial")</f>
        <v>B9MRP3HXA00048Z</v>
      </c>
      <c r="F139" s="79">
        <f t="shared" si="1"/>
        <v>20</v>
      </c>
      <c r="G139" s="11" t="s">
        <v>23</v>
      </c>
      <c r="H139" s="80" t="b">
        <v>1</v>
      </c>
      <c r="I139" s="81">
        <v>46120.0</v>
      </c>
      <c r="J139" s="82" t="s">
        <v>23</v>
      </c>
      <c r="K139" s="11" t="s">
        <v>23</v>
      </c>
      <c r="L139" s="83" t="b">
        <v>0</v>
      </c>
      <c r="M139" s="84"/>
      <c r="N139" s="80" t="b">
        <v>1</v>
      </c>
      <c r="O139" s="82" t="s">
        <v>24</v>
      </c>
      <c r="P139" s="14" t="s">
        <v>23</v>
      </c>
      <c r="Q139" s="82" t="s">
        <v>32</v>
      </c>
      <c r="R139" s="82" t="s">
        <v>44</v>
      </c>
      <c r="S139" s="84"/>
      <c r="T139" s="85"/>
      <c r="U139" s="20"/>
      <c r="V139" s="86"/>
    </row>
    <row r="140" ht="22.5" customHeight="1">
      <c r="A140" s="78" t="str">
        <f>IFERROR(__xludf.DUMMYFUNCTION("IFERROR(TO_TEXT(INDEX(Base!E:E, MATCH(B140, Base!A:A, 0))), ""mm.dd.yyyy"")
"),"03.30.2026")</f>
        <v>03.30.2026</v>
      </c>
      <c r="B140" s="95" t="s">
        <v>217</v>
      </c>
      <c r="C140" s="24" t="str">
        <f t="array" ref="C140">IFERROR(INDEX(Base!I:I,MATCH(B140,Base!A:A,0)),"Nome do Cliente")
</f>
        <v>NORBERTO GUIMARAES LOPEZ</v>
      </c>
      <c r="D140" s="79" t="str">
        <f t="array" ref="D140">IFERROR(INDEX(Base!G:G,MATCH(B140,Base!A:A,0)),"Modelo da Cond.")</f>
        <v>AM018NN1DCH/AZ</v>
      </c>
      <c r="E140" s="79" t="str">
        <f t="array" ref="E140">IFERROR(INDEX(Base!H:H,MATCH(B140,Base!A:A,0)),"N° Serial")</f>
        <v>B9MPP3HR800003L</v>
      </c>
      <c r="F140" s="79">
        <f t="shared" si="1"/>
        <v>20</v>
      </c>
      <c r="G140" s="11" t="s">
        <v>35</v>
      </c>
      <c r="H140" s="80" t="b">
        <v>0</v>
      </c>
      <c r="I140" s="81"/>
      <c r="J140" s="82"/>
      <c r="K140" s="60"/>
      <c r="L140" s="83" t="b">
        <v>0</v>
      </c>
      <c r="M140" s="84"/>
      <c r="N140" s="80" t="b">
        <v>0</v>
      </c>
      <c r="O140" s="88"/>
      <c r="P140" s="14"/>
      <c r="Q140" s="88"/>
      <c r="R140" s="88"/>
      <c r="S140" s="84"/>
      <c r="T140" s="85"/>
      <c r="U140" s="20"/>
      <c r="V140" s="86"/>
    </row>
    <row r="141" ht="22.5" customHeight="1">
      <c r="A141" s="78" t="str">
        <f>IFERROR(__xludf.DUMMYFUNCTION("IFERROR(TO_TEXT(INDEX(Base!E:E, MATCH(B141, Base!A:A, 0))), ""mm.dd.yyyy"")
"),"03.30.2026")</f>
        <v>03.30.2026</v>
      </c>
      <c r="B141" s="95" t="s">
        <v>218</v>
      </c>
      <c r="C141" s="24" t="str">
        <f t="array" ref="C141">IFERROR(INDEX(Base!I:I,MATCH(B141,Base!A:A,0)),"Nome do Cliente")
</f>
        <v>Carlos Bedani</v>
      </c>
      <c r="D141" s="79" t="str">
        <f t="array" ref="D141">IFERROR(INDEX(Base!G:G,MATCH(B141,Base!A:A,0)),"Modelo da Cond.")</f>
        <v>AM120KXMDHH/TC</v>
      </c>
      <c r="E141" s="79" t="str">
        <f t="array" ref="E141">IFERROR(INDEX(Base!H:H,MATCH(B141,Base!A:A,0)),"N° Serial")</f>
        <v>0F39PAORB00013W</v>
      </c>
      <c r="F141" s="79">
        <f t="shared" si="1"/>
        <v>20</v>
      </c>
      <c r="G141" s="11" t="s">
        <v>35</v>
      </c>
      <c r="H141" s="80" t="b">
        <v>0</v>
      </c>
      <c r="I141" s="81"/>
      <c r="J141" s="82"/>
      <c r="K141" s="60"/>
      <c r="L141" s="83" t="b">
        <v>0</v>
      </c>
      <c r="M141" s="84"/>
      <c r="N141" s="80" t="b">
        <v>0</v>
      </c>
      <c r="O141" s="88"/>
      <c r="P141" s="14"/>
      <c r="Q141" s="88"/>
      <c r="R141" s="88"/>
      <c r="S141" s="84"/>
      <c r="T141" s="85"/>
      <c r="U141" s="20"/>
      <c r="V141" s="86"/>
    </row>
    <row r="142" ht="22.5" customHeight="1">
      <c r="A142" s="78" t="str">
        <f>IFERROR(__xludf.DUMMYFUNCTION("IFERROR(TO_TEXT(INDEX(Base!E:E, MATCH(B142, Base!A:A, 0))), ""mm.dd.yyyy"")
"),"03.30.2026")</f>
        <v>03.30.2026</v>
      </c>
      <c r="B142" s="95" t="s">
        <v>219</v>
      </c>
      <c r="C142" s="61" t="str">
        <f t="array" ref="C142">IFERROR(INDEX(Base!I:I,MATCH(B142,Base!A:A,0)),"Nome do Cliente")
</f>
        <v>BIS DISTRIBUIDORA DE VEI</v>
      </c>
      <c r="D142" s="79" t="str">
        <f t="array" ref="D142">IFERROR(INDEX(Base!G:G,MATCH(B142,Base!A:A,0)),"Modelo da Cond.")</f>
        <v>AM200AXVANC/EA</v>
      </c>
      <c r="E142" s="79" t="str">
        <f t="array" ref="E142">IFERROR(INDEX(Base!H:H,MATCH(B142,Base!A:A,0)),"N° Serial")</f>
        <v>0YB7PAOY300015Y</v>
      </c>
      <c r="F142" s="79">
        <f t="shared" si="1"/>
        <v>20</v>
      </c>
      <c r="G142" s="11" t="s">
        <v>29</v>
      </c>
      <c r="H142" s="80" t="b">
        <v>1</v>
      </c>
      <c r="I142" s="81">
        <v>46121.0</v>
      </c>
      <c r="J142" s="82" t="s">
        <v>23</v>
      </c>
      <c r="K142" s="11" t="s">
        <v>23</v>
      </c>
      <c r="L142" s="83" t="b">
        <v>0</v>
      </c>
      <c r="M142" s="84"/>
      <c r="N142" s="80" t="b">
        <v>1</v>
      </c>
      <c r="O142" s="82" t="s">
        <v>24</v>
      </c>
      <c r="P142" s="14" t="s">
        <v>23</v>
      </c>
      <c r="Q142" s="82" t="s">
        <v>32</v>
      </c>
      <c r="R142" s="82" t="s">
        <v>44</v>
      </c>
      <c r="S142" s="84"/>
      <c r="T142" s="85"/>
      <c r="U142" s="20"/>
      <c r="V142" s="86"/>
    </row>
    <row r="143" ht="22.5" customHeight="1">
      <c r="A143" s="78" t="str">
        <f>IFERROR(__xludf.DUMMYFUNCTION("IFERROR(TO_TEXT(INDEX(Base!E:E, MATCH(B143, Base!A:A, 0))), ""mm.dd.yyyy"")
"),"03.30.2026")</f>
        <v>03.30.2026</v>
      </c>
      <c r="B143" s="95" t="s">
        <v>220</v>
      </c>
      <c r="C143" s="61" t="str">
        <f t="array" ref="C143">IFERROR(INDEX(Base!I:I,MATCH(B143,Base!A:A,0)),"Nome do Cliente")
</f>
        <v>Leonardo Marcelino Santos</v>
      </c>
      <c r="D143" s="79" t="str">
        <f t="array" ref="D143">IFERROR(INDEX(Base!G:G,MATCH(B143,Base!A:A,0)),"Modelo da Cond.")</f>
        <v>AM028NN1DKH/EU</v>
      </c>
      <c r="E143" s="79" t="str">
        <f t="array" ref="E143">IFERROR(INDEX(Base!H:H,MATCH(B143,Base!A:A,0)),"N° Serial")</f>
        <v>BF5LP3HX300664D</v>
      </c>
      <c r="F143" s="79">
        <f t="shared" si="1"/>
        <v>20</v>
      </c>
      <c r="G143" s="11" t="s">
        <v>29</v>
      </c>
      <c r="H143" s="80" t="b">
        <v>1</v>
      </c>
      <c r="I143" s="81">
        <v>46122.0</v>
      </c>
      <c r="J143" s="82" t="s">
        <v>23</v>
      </c>
      <c r="K143" s="11" t="s">
        <v>23</v>
      </c>
      <c r="L143" s="83" t="b">
        <v>0</v>
      </c>
      <c r="M143" s="84"/>
      <c r="N143" s="80" t="b">
        <v>1</v>
      </c>
      <c r="O143" s="82" t="s">
        <v>24</v>
      </c>
      <c r="P143" s="14" t="s">
        <v>23</v>
      </c>
      <c r="Q143" s="82" t="s">
        <v>81</v>
      </c>
      <c r="R143" s="82" t="s">
        <v>44</v>
      </c>
      <c r="S143" s="84"/>
      <c r="T143" s="85"/>
      <c r="U143" s="20"/>
      <c r="V143" s="86"/>
    </row>
    <row r="144" ht="22.5" customHeight="1">
      <c r="A144" s="78" t="str">
        <f>IFERROR(__xludf.DUMMYFUNCTION("IFERROR(TO_TEXT(INDEX(Base!E:E, MATCH(B144, Base!A:A, 0))), ""mm.dd.yyyy"")
"),"03.30.2026")</f>
        <v>03.30.2026</v>
      </c>
      <c r="B144" s="95" t="s">
        <v>221</v>
      </c>
      <c r="C144" s="61" t="str">
        <f t="array" ref="C144">IFERROR(INDEX(Base!I:I,MATCH(B144,Base!A:A,0)),"Nome do Cliente")
</f>
        <v>Laura Müller Valente</v>
      </c>
      <c r="D144" s="79" t="str">
        <f t="array" ref="D144">IFERROR(INDEX(Base!G:G,MATCH(B144,Base!A:A,0)),"Modelo da Cond.")</f>
        <v>AM060TXMDKH/AZ</v>
      </c>
      <c r="E144" s="79" t="str">
        <f t="array" ref="E144">IFERROR(INDEX(Base!H:H,MATCH(B144,Base!A:A,0)),"N° Serial")</f>
        <v>0V5TPAFXA00013N</v>
      </c>
      <c r="F144" s="79">
        <f t="shared" si="1"/>
        <v>20</v>
      </c>
      <c r="G144" s="11" t="s">
        <v>23</v>
      </c>
      <c r="H144" s="80" t="b">
        <v>1</v>
      </c>
      <c r="I144" s="81">
        <v>46121.0</v>
      </c>
      <c r="J144" s="82" t="s">
        <v>24</v>
      </c>
      <c r="K144" s="11" t="s">
        <v>35</v>
      </c>
      <c r="L144" s="83" t="b">
        <v>0</v>
      </c>
      <c r="M144" s="84"/>
      <c r="N144" s="80" t="b">
        <v>0</v>
      </c>
      <c r="O144" s="88"/>
      <c r="P144" s="14"/>
      <c r="Q144" s="88"/>
      <c r="R144" s="88"/>
      <c r="S144" s="84"/>
      <c r="T144" s="85"/>
      <c r="U144" s="20"/>
      <c r="V144" s="86"/>
    </row>
    <row r="145" ht="22.5" customHeight="1">
      <c r="A145" s="78" t="str">
        <f>IFERROR(__xludf.DUMMYFUNCTION("IFERROR(TO_TEXT(INDEX(Base!E:E, MATCH(B145, Base!A:A, 0))), ""mm.dd.yyyy"")
"),"03.31.2026")</f>
        <v>03.31.2026</v>
      </c>
      <c r="B145" s="90" t="s">
        <v>222</v>
      </c>
      <c r="C145" s="24" t="str">
        <f t="array" ref="C145">IFERROR(INDEX(Base!I:I,MATCH(B145,Base!A:A,0)),"Nome do Cliente")
</f>
        <v>Paulo Roberto Ribeiro</v>
      </c>
      <c r="D145" s="79" t="str">
        <f t="array" ref="D145">IFERROR(INDEX(Base!G:G,MATCH(B145,Base!A:A,0)),"Modelo da Cond.")</f>
        <v>AC024DXADKG/AZ</v>
      </c>
      <c r="E145" s="79" t="str">
        <f t="array" ref="E145">IFERROR(INDEX(Base!H:H,MATCH(B145,Base!A:A,0)),"N° Serial")</f>
        <v>030JPXBXC00453A</v>
      </c>
      <c r="F145" s="79">
        <f t="shared" si="1"/>
        <v>19</v>
      </c>
      <c r="G145" s="11" t="s">
        <v>29</v>
      </c>
      <c r="H145" s="80" t="b">
        <v>0</v>
      </c>
      <c r="I145" s="81"/>
      <c r="J145" s="82"/>
      <c r="K145" s="60"/>
      <c r="L145" s="83" t="b">
        <v>0</v>
      </c>
      <c r="M145" s="84"/>
      <c r="N145" s="80" t="b">
        <v>0</v>
      </c>
      <c r="O145" s="88"/>
      <c r="P145" s="14"/>
      <c r="Q145" s="88"/>
      <c r="R145" s="88"/>
      <c r="S145" s="84"/>
      <c r="T145" s="85"/>
      <c r="U145" s="20"/>
      <c r="V145" s="86"/>
    </row>
    <row r="146" ht="22.5" customHeight="1">
      <c r="A146" s="78" t="str">
        <f>IFERROR(__xludf.DUMMYFUNCTION("IFERROR(TO_TEXT(INDEX(Base!E:E, MATCH(B146, Base!A:A, 0))), ""mm.dd.yyyy"")
"),"03.31.2026")</f>
        <v>03.31.2026</v>
      </c>
      <c r="B146" s="8" t="s">
        <v>223</v>
      </c>
      <c r="C146" s="24" t="str">
        <f t="array" ref="C146">IFERROR(INDEX(Base!I:I,MATCH(B146,Base!A:A,0)),"Nome do Cliente")
</f>
        <v>Felipe Santana de Paula</v>
      </c>
      <c r="D146" s="79" t="str">
        <f t="array" ref="D146">IFERROR(INDEX(Base!G:G,MATCH(B146,Base!A:A,0)),"Modelo da Cond.")</f>
        <v>AM036KNMDCH/AZ</v>
      </c>
      <c r="E146" s="79" t="str">
        <f t="array" ref="E146">IFERROR(INDEX(Base!H:H,MATCH(B146,Base!A:A,0)),"N° Serial")</f>
        <v>0R5CPALT300014R</v>
      </c>
      <c r="F146" s="79">
        <f t="shared" si="1"/>
        <v>19</v>
      </c>
      <c r="G146" s="11" t="s">
        <v>29</v>
      </c>
      <c r="H146" s="80" t="b">
        <v>0</v>
      </c>
      <c r="I146" s="81"/>
      <c r="J146" s="82"/>
      <c r="K146" s="60"/>
      <c r="L146" s="83" t="b">
        <v>0</v>
      </c>
      <c r="M146" s="84"/>
      <c r="N146" s="80" t="b">
        <v>0</v>
      </c>
      <c r="O146" s="88"/>
      <c r="P146" s="14"/>
      <c r="Q146" s="88"/>
      <c r="R146" s="88"/>
      <c r="S146" s="84"/>
      <c r="T146" s="85"/>
      <c r="U146" s="20"/>
      <c r="V146" s="86"/>
    </row>
    <row r="147" ht="22.5" customHeight="1">
      <c r="A147" s="78" t="str">
        <f>IFERROR(__xludf.DUMMYFUNCTION("IFERROR(TO_TEXT(INDEX(Base!E:E, MATCH(B147, Base!A:A, 0))), ""mm.dd.yyyy"")
"),"03.31.2026")</f>
        <v>03.31.2026</v>
      </c>
      <c r="B147" s="90" t="s">
        <v>224</v>
      </c>
      <c r="C147" s="24" t="str">
        <f t="array" ref="C147">IFERROR(INDEX(Base!I:I,MATCH(B147,Base!A:A,0)),"Nome do Cliente")
</f>
        <v>Thiago Flareco</v>
      </c>
      <c r="D147" s="79" t="str">
        <f t="array" ref="D147">IFERROR(INDEX(Base!G:G,MATCH(B147,Base!A:A,0)),"Modelo da Cond.")</f>
        <v>AC024DN1DKG/AZ</v>
      </c>
      <c r="E147" s="79" t="str">
        <f t="array" ref="E147">IFERROR(INDEX(Base!H:H,MATCH(B147,Base!A:A,0)),"N° Serial")</f>
        <v>030EPXAY600034H</v>
      </c>
      <c r="F147" s="79">
        <f t="shared" si="1"/>
        <v>19</v>
      </c>
      <c r="G147" s="11" t="s">
        <v>23</v>
      </c>
      <c r="H147" s="80" t="b">
        <v>0</v>
      </c>
      <c r="I147" s="81"/>
      <c r="J147" s="82"/>
      <c r="K147" s="60"/>
      <c r="L147" s="83" t="b">
        <v>0</v>
      </c>
      <c r="M147" s="84"/>
      <c r="N147" s="80" t="b">
        <v>0</v>
      </c>
      <c r="O147" s="88"/>
      <c r="P147" s="14"/>
      <c r="Q147" s="88"/>
      <c r="R147" s="88"/>
      <c r="S147" s="84"/>
      <c r="T147" s="85"/>
      <c r="U147" s="20"/>
      <c r="V147" s="86"/>
    </row>
    <row r="148" ht="22.5" customHeight="1">
      <c r="A148" s="78" t="str">
        <f>IFERROR(__xludf.DUMMYFUNCTION("IFERROR(TO_TEXT(INDEX(Base!E:E, MATCH(B148, Base!A:A, 0))), ""mm.dd.yyyy"")
"),"04.01.2026")</f>
        <v>04.01.2026</v>
      </c>
      <c r="B148" s="8" t="s">
        <v>225</v>
      </c>
      <c r="C148" s="24" t="str">
        <f t="array" ref="C148">IFERROR(INDEX(Base!I:I,MATCH(B148,Base!A:A,0)),"Nome do Cliente")
</f>
        <v>Leonardo Renan Fiorin</v>
      </c>
      <c r="D148" s="79" t="str">
        <f t="array" ref="D148">IFERROR(INDEX(Base!G:G,MATCH(B148,Base!A:A,0)),"Modelo da Cond.")</f>
        <v>AJ080AXJ4KH/AZ</v>
      </c>
      <c r="E148" s="79" t="str">
        <f t="array" ref="E148">IFERROR(INDEX(Base!H:H,MATCH(B148,Base!A:A,0)),"N° Serial")</f>
        <v>M000</v>
      </c>
      <c r="F148" s="79">
        <f t="shared" si="1"/>
        <v>18</v>
      </c>
      <c r="G148" s="11" t="s">
        <v>29</v>
      </c>
      <c r="H148" s="80" t="b">
        <v>0</v>
      </c>
      <c r="I148" s="81"/>
      <c r="J148" s="82"/>
      <c r="K148" s="60"/>
      <c r="L148" s="83" t="b">
        <v>0</v>
      </c>
      <c r="M148" s="84"/>
      <c r="N148" s="80" t="b">
        <v>0</v>
      </c>
      <c r="O148" s="88"/>
      <c r="P148" s="14"/>
      <c r="Q148" s="88"/>
      <c r="R148" s="88"/>
      <c r="S148" s="84"/>
      <c r="T148" s="85"/>
      <c r="U148" s="20"/>
      <c r="V148" s="86"/>
    </row>
    <row r="149" ht="22.5" customHeight="1">
      <c r="A149" s="78" t="str">
        <f>IFERROR(__xludf.DUMMYFUNCTION("IFERROR(TO_TEXT(INDEX(Base!E:E, MATCH(B149, Base!A:A, 0))), ""mm.dd.yyyy"")
"),"04.01.2026")</f>
        <v>04.01.2026</v>
      </c>
      <c r="B149" s="90" t="s">
        <v>226</v>
      </c>
      <c r="C149" s="24" t="str">
        <f t="array" ref="C149">IFERROR(INDEX(Base!I:I,MATCH(B149,Base!A:A,0)),"Nome do Cliente")
</f>
        <v>Hugo Alves dos Santos</v>
      </c>
      <c r="D149" s="79" t="str">
        <f t="array" ref="D149">IFERROR(INDEX(Base!G:G,MATCH(B149,Base!A:A,0)),"Modelo da Cond.")</f>
        <v>AC036DXADKG/AZ</v>
      </c>
      <c r="E149" s="79" t="str">
        <f t="array" ref="E149">IFERROR(INDEX(Base!H:H,MATCH(B149,Base!A:A,0)),"N° Serial")</f>
        <v>030RPXBY400074Y</v>
      </c>
      <c r="F149" s="79">
        <f t="shared" si="1"/>
        <v>18</v>
      </c>
      <c r="G149" s="11" t="s">
        <v>23</v>
      </c>
      <c r="H149" s="80" t="b">
        <v>0</v>
      </c>
      <c r="I149" s="81"/>
      <c r="J149" s="82"/>
      <c r="K149" s="60"/>
      <c r="L149" s="83" t="b">
        <v>0</v>
      </c>
      <c r="M149" s="84"/>
      <c r="N149" s="80" t="b">
        <v>0</v>
      </c>
      <c r="O149" s="88"/>
      <c r="P149" s="14"/>
      <c r="Q149" s="88"/>
      <c r="R149" s="88"/>
      <c r="S149" s="84"/>
      <c r="T149" s="85"/>
      <c r="U149" s="20"/>
      <c r="V149" s="86"/>
    </row>
    <row r="150" ht="22.5" customHeight="1">
      <c r="A150" s="78" t="str">
        <f>IFERROR(__xludf.DUMMYFUNCTION("IFERROR(TO_TEXT(INDEX(Base!E:E, MATCH(B150, Base!A:A, 0))), ""mm.dd.yyyy"")
"),"03.23.2026")</f>
        <v>03.23.2026</v>
      </c>
      <c r="B150" s="90" t="s">
        <v>227</v>
      </c>
      <c r="C150" s="22" t="str">
        <f t="array" ref="C150">IFERROR(INDEX(Base!I:I,MATCH(B150,Base!A:A,0)),"Nome do Cliente")
</f>
        <v>Luísa Navarro</v>
      </c>
      <c r="D150" s="79" t="str">
        <f t="array" ref="D150">IFERROR(INDEX(Base!G:G,MATCH(B150,Base!A:A,0)),"Modelo da Cond.")</f>
        <v>AJ025ANAPKH2AZ</v>
      </c>
      <c r="E150" s="79" t="str">
        <f t="array" ref="E150">IFERROR(INDEX(Base!H:H,MATCH(B150,Base!A:A,0)),"N° Serial")</f>
        <v>M000</v>
      </c>
      <c r="F150" s="79">
        <f t="shared" si="1"/>
        <v>27</v>
      </c>
      <c r="G150" s="11" t="s">
        <v>23</v>
      </c>
      <c r="H150" s="80" t="b">
        <v>1</v>
      </c>
      <c r="I150" s="81">
        <v>46135.0</v>
      </c>
      <c r="J150" s="82"/>
      <c r="K150" s="60"/>
      <c r="L150" s="83" t="b">
        <v>0</v>
      </c>
      <c r="M150" s="84"/>
      <c r="N150" s="80" t="b">
        <v>0</v>
      </c>
      <c r="O150" s="88"/>
      <c r="P150" s="14"/>
      <c r="Q150" s="88"/>
      <c r="R150" s="88"/>
      <c r="S150" s="84"/>
      <c r="T150" s="85"/>
      <c r="U150" s="20"/>
      <c r="V150" s="86"/>
    </row>
    <row r="151" ht="22.5" customHeight="1">
      <c r="A151" s="78" t="str">
        <f>IFERROR(__xludf.DUMMYFUNCTION("IFERROR(TO_TEXT(INDEX(Base!E:E, MATCH(B151, Base!A:A, 0))), ""mm.dd.yyyy"")
"),"04.01.2026")</f>
        <v>04.01.2026</v>
      </c>
      <c r="B151" s="8" t="s">
        <v>228</v>
      </c>
      <c r="C151" s="61" t="str">
        <f t="array" ref="C151">IFERROR(INDEX(Base!I:I,MATCH(B151,Base!A:A,0)),"Nome do Cliente")
</f>
        <v>REGINA LONGO SANCHEZ</v>
      </c>
      <c r="D151" s="79" t="str">
        <f t="array" ref="D151">IFERROR(INDEX(Base!G:G,MATCH(B151,Base!A:A,0)),"Modelo da Cond.")</f>
        <v>AM036NN1DKH/EU</v>
      </c>
      <c r="E151" s="79" t="str">
        <f t="array" ref="E151">IFERROR(INDEX(Base!H:H,MATCH(B151,Base!A:A,0)),"N° Serial")</f>
        <v>BF5NP3HXC00208Z</v>
      </c>
      <c r="F151" s="79">
        <f t="shared" si="1"/>
        <v>18</v>
      </c>
      <c r="G151" s="11" t="s">
        <v>23</v>
      </c>
      <c r="H151" s="80" t="b">
        <v>1</v>
      </c>
      <c r="I151" s="81">
        <v>46118.0</v>
      </c>
      <c r="J151" s="82" t="s">
        <v>23</v>
      </c>
      <c r="K151" s="11" t="s">
        <v>23</v>
      </c>
      <c r="L151" s="83" t="b">
        <v>0</v>
      </c>
      <c r="M151" s="84"/>
      <c r="N151" s="80" t="b">
        <v>1</v>
      </c>
      <c r="O151" s="82" t="s">
        <v>24</v>
      </c>
      <c r="P151" s="14"/>
      <c r="Q151" s="82" t="s">
        <v>32</v>
      </c>
      <c r="R151" s="82" t="s">
        <v>44</v>
      </c>
      <c r="S151" s="84"/>
      <c r="T151" s="85"/>
      <c r="U151" s="20"/>
      <c r="V151" s="86"/>
    </row>
    <row r="152" ht="22.5" customHeight="1">
      <c r="A152" s="78" t="str">
        <f>IFERROR(__xludf.DUMMYFUNCTION("IFERROR(TO_TEXT(INDEX(Base!E:E, MATCH(B152, Base!A:A, 0))), ""mm.dd.yyyy"")
"),"mm.dd.yyyy")</f>
        <v>mm.dd.yyyy</v>
      </c>
      <c r="B152" s="8" t="s">
        <v>229</v>
      </c>
      <c r="C152" s="97" t="s">
        <v>230</v>
      </c>
      <c r="D152" s="79" t="str">
        <f t="array" ref="D152">IFERROR(INDEX(Base!G:G,MATCH(B152,Base!A:A,0)),"Modelo da Cond.")</f>
        <v>Modelo da Cond.</v>
      </c>
      <c r="E152" s="79" t="str">
        <f t="array" ref="E152">IFERROR(INDEX(Base!H:H,MATCH(B152,Base!A:A,0)),"N° Serial")</f>
        <v>N° Serial</v>
      </c>
      <c r="F152" s="79" t="str">
        <f t="shared" si="1"/>
        <v>#VALUE!</v>
      </c>
      <c r="G152" s="60"/>
      <c r="H152" s="80" t="b">
        <v>0</v>
      </c>
      <c r="I152" s="81"/>
      <c r="J152" s="82"/>
      <c r="K152" s="60"/>
      <c r="L152" s="83" t="b">
        <v>0</v>
      </c>
      <c r="M152" s="84"/>
      <c r="N152" s="80" t="b">
        <v>0</v>
      </c>
      <c r="O152" s="88"/>
      <c r="P152" s="14"/>
      <c r="Q152" s="88"/>
      <c r="R152" s="88"/>
      <c r="S152" s="84"/>
      <c r="T152" s="85"/>
      <c r="U152" s="20"/>
      <c r="V152" s="86"/>
    </row>
    <row r="153" ht="22.5" customHeight="1">
      <c r="A153" s="78" t="str">
        <f>IFERROR(__xludf.DUMMYFUNCTION("IFERROR(TO_TEXT(INDEX(Base!E:E, MATCH(B153, Base!A:A, 0))), ""mm.dd.yyyy"")
"),"04.07.2026")</f>
        <v>04.07.2026</v>
      </c>
      <c r="B153" s="8" t="s">
        <v>231</v>
      </c>
      <c r="C153" s="24" t="str">
        <f t="array" ref="C153">IFERROR(INDEX(Base!I:I,MATCH(B153,Base!A:A,0)),"Nome do Cliente")
</f>
        <v>Diogo Sesti</v>
      </c>
      <c r="D153" s="79" t="str">
        <f t="array" ref="D153">IFERROR(INDEX(Base!G:G,MATCH(B153,Base!A:A,0)),"Modelo da Cond.")</f>
        <v>AR24DXFAAWKXAZ</v>
      </c>
      <c r="E153" s="79" t="str">
        <f t="array" ref="E153">IFERROR(INDEX(Base!H:H,MATCH(B153,Base!A:A,0)),"N° Serial")</f>
        <v>033QPXBY200357R</v>
      </c>
      <c r="F153" s="79">
        <f t="shared" si="1"/>
        <v>12</v>
      </c>
      <c r="G153" s="11" t="s">
        <v>35</v>
      </c>
      <c r="H153" s="80" t="b">
        <v>0</v>
      </c>
      <c r="I153" s="81"/>
      <c r="J153" s="82"/>
      <c r="K153" s="60"/>
      <c r="L153" s="83" t="b">
        <v>0</v>
      </c>
      <c r="M153" s="84"/>
      <c r="N153" s="80" t="b">
        <v>0</v>
      </c>
      <c r="O153" s="88"/>
      <c r="P153" s="14"/>
      <c r="Q153" s="88"/>
      <c r="R153" s="88"/>
      <c r="S153" s="84"/>
      <c r="T153" s="85"/>
      <c r="U153" s="20"/>
      <c r="V153" s="86"/>
    </row>
    <row r="154" ht="22.5" customHeight="1">
      <c r="A154" s="78" t="str">
        <f>IFERROR(__xludf.DUMMYFUNCTION("IFERROR(TO_TEXT(INDEX(Base!E:E, MATCH(B154, Base!A:A, 0))), ""mm.dd.yyyy"")
"),"04.09.2026")</f>
        <v>04.09.2026</v>
      </c>
      <c r="B154" s="8" t="s">
        <v>232</v>
      </c>
      <c r="C154" s="24" t="str">
        <f t="array" ref="C154">IFERROR(INDEX(Base!I:I,MATCH(B154,Base!A:A,0)),"Nome do Cliente")
</f>
        <v>Wagner Oliveira</v>
      </c>
      <c r="D154" s="79" t="str">
        <f t="array" ref="D154">IFERROR(INDEX(Base!G:G,MATCH(B154,Base!A:A,0)),"Modelo da Cond.")</f>
        <v>PC6NUSMANW</v>
      </c>
      <c r="E154" s="79" t="str">
        <f t="array" ref="E154">IFERROR(INDEX(Base!H:H,MATCH(B154,Base!A:A,0)),"N° Serial")</f>
        <v>M000</v>
      </c>
      <c r="F154" s="79">
        <f t="shared" si="1"/>
        <v>10</v>
      </c>
      <c r="G154" s="11" t="s">
        <v>23</v>
      </c>
      <c r="H154" s="80" t="b">
        <v>0</v>
      </c>
      <c r="I154" s="81"/>
      <c r="J154" s="82"/>
      <c r="K154" s="60"/>
      <c r="L154" s="83" t="b">
        <v>0</v>
      </c>
      <c r="M154" s="84"/>
      <c r="N154" s="80" t="b">
        <v>0</v>
      </c>
      <c r="O154" s="88"/>
      <c r="P154" s="14"/>
      <c r="Q154" s="88"/>
      <c r="R154" s="88"/>
      <c r="S154" s="84"/>
      <c r="T154" s="85"/>
      <c r="U154" s="20"/>
      <c r="V154" s="86"/>
    </row>
    <row r="155" ht="22.5" customHeight="1">
      <c r="A155" s="78" t="str">
        <f>IFERROR(__xludf.DUMMYFUNCTION("IFERROR(TO_TEXT(INDEX(Base!E:E, MATCH(B155, Base!A:A, 0))), ""mm.dd.yyyy"")
"),"4.10.2026")</f>
        <v>4.10.2026</v>
      </c>
      <c r="B155" s="8" t="s">
        <v>233</v>
      </c>
      <c r="C155" s="22" t="str">
        <f t="array" ref="C155">IFERROR(INDEX(Base!I:I,MATCH(B155,Base!A:A,0)),"Nome do Cliente")
</f>
        <v>TGSP 88 Empreendimentos Imob</v>
      </c>
      <c r="D155" s="79" t="str">
        <f t="array" ref="D155">IFERROR(INDEX(Base!G:G,MATCH(B155,Base!A:A,0)),"Modelo da Cond.")</f>
        <v>AM028NN1DKH/EU</v>
      </c>
      <c r="E155" s="79" t="str">
        <f t="array" ref="E155">IFERROR(INDEX(Base!H:H,MATCH(B155,Base!A:A,0)),"N° Serial")</f>
        <v>BF5LP3HX800136J</v>
      </c>
      <c r="F155" s="79" t="str">
        <f t="shared" si="1"/>
        <v>#VALUE!</v>
      </c>
      <c r="G155" s="11" t="s">
        <v>23</v>
      </c>
      <c r="H155" s="80" t="b">
        <v>1</v>
      </c>
      <c r="I155" s="81">
        <v>46134.0</v>
      </c>
      <c r="J155" s="82"/>
      <c r="K155" s="60"/>
      <c r="L155" s="83" t="b">
        <v>0</v>
      </c>
      <c r="M155" s="84"/>
      <c r="N155" s="80" t="b">
        <v>0</v>
      </c>
      <c r="O155" s="88"/>
      <c r="P155" s="14"/>
      <c r="Q155" s="88"/>
      <c r="R155" s="88"/>
      <c r="S155" s="84"/>
      <c r="T155" s="85"/>
      <c r="U155" s="20"/>
      <c r="V155" s="86"/>
    </row>
    <row r="156" ht="22.5" customHeight="1">
      <c r="A156" s="78" t="str">
        <f>IFERROR(__xludf.DUMMYFUNCTION("IFERROR(TO_TEXT(INDEX(Base!E:E, MATCH(B156, Base!A:A, 0))), ""mm.dd.yyyy"")
"),"04.10.2026")</f>
        <v>04.10.2026</v>
      </c>
      <c r="B156" s="8" t="s">
        <v>234</v>
      </c>
      <c r="C156" s="22" t="str">
        <f t="array" ref="C156">IFERROR(INDEX(Base!I:I,MATCH(B156,Base!A:A,0)),"Nome do Cliente")
</f>
        <v>Ewerton Alexsander Pinto</v>
      </c>
      <c r="D156" s="79" t="str">
        <f t="array" ref="D156">IFERROR(INDEX(Base!G:G,MATCH(B156,Base!A:A,0)),"Modelo da Cond.")</f>
        <v>AM300KXVANH/TL</v>
      </c>
      <c r="E156" s="79" t="str">
        <f t="array" ref="E156">IFERROR(INDEX(Base!H:H,MATCH(B156,Base!A:A,0)),"N° Serial")</f>
        <v>0FCYPAOT200016N</v>
      </c>
      <c r="F156" s="79">
        <f t="shared" si="1"/>
        <v>9</v>
      </c>
      <c r="G156" s="11" t="s">
        <v>29</v>
      </c>
      <c r="H156" s="80" t="b">
        <v>1</v>
      </c>
      <c r="I156" s="81">
        <v>46129.0</v>
      </c>
      <c r="J156" s="82"/>
      <c r="K156" s="60"/>
      <c r="L156" s="83" t="b">
        <v>0</v>
      </c>
      <c r="M156" s="84"/>
      <c r="N156" s="80" t="b">
        <v>0</v>
      </c>
      <c r="O156" s="88"/>
      <c r="P156" s="14"/>
      <c r="Q156" s="88"/>
      <c r="R156" s="88"/>
      <c r="S156" s="84"/>
      <c r="T156" s="85"/>
      <c r="U156" s="20"/>
      <c r="V156" s="86"/>
    </row>
    <row r="157" ht="22.5" customHeight="1">
      <c r="A157" s="78" t="str">
        <f>IFERROR(__xludf.DUMMYFUNCTION("IFERROR(TO_TEXT(INDEX(Base!E:E, MATCH(B157, Base!A:A, 0))), ""mm.dd.yyyy"")
"),"03.16.2026")</f>
        <v>03.16.2026</v>
      </c>
      <c r="B157" s="8" t="s">
        <v>235</v>
      </c>
      <c r="C157" s="24" t="str">
        <f t="array" ref="C157">IFERROR(INDEX(Base!I:I,MATCH(B157,Base!A:A,0)),"Nome do Cliente")
</f>
        <v>Lucas Silva</v>
      </c>
      <c r="D157" s="79" t="str">
        <f t="array" ref="D157">IFERROR(INDEX(Base!G:G,MATCH(B157,Base!A:A,0)),"Modelo da Cond.")</f>
        <v>AJ025ANAPKH2AZ</v>
      </c>
      <c r="E157" s="79" t="str">
        <f t="array" ref="E157">IFERROR(INDEX(Base!H:H,MATCH(B157,Base!A:A,0)),"N° Serial")</f>
        <v>M000</v>
      </c>
      <c r="F157" s="79">
        <f t="shared" si="1"/>
        <v>34</v>
      </c>
      <c r="G157" s="11" t="s">
        <v>23</v>
      </c>
      <c r="H157" s="80" t="b">
        <v>0</v>
      </c>
      <c r="I157" s="81"/>
      <c r="J157" s="82"/>
      <c r="K157" s="60"/>
      <c r="L157" s="83" t="b">
        <v>0</v>
      </c>
      <c r="M157" s="84"/>
      <c r="N157" s="80" t="b">
        <v>0</v>
      </c>
      <c r="O157" s="88"/>
      <c r="P157" s="14"/>
      <c r="Q157" s="88"/>
      <c r="R157" s="88"/>
      <c r="S157" s="84"/>
      <c r="T157" s="85"/>
      <c r="U157" s="20"/>
      <c r="V157" s="86"/>
    </row>
    <row r="158" ht="22.5" customHeight="1">
      <c r="A158" s="78" t="str">
        <f>IFERROR(__xludf.DUMMYFUNCTION("IFERROR(TO_TEXT(INDEX(Base!E:E, MATCH(B158, Base!A:A, 0))), ""mm.dd.yyyy"")
"),"03.18.2026")</f>
        <v>03.18.2026</v>
      </c>
      <c r="B158" s="8" t="s">
        <v>236</v>
      </c>
      <c r="C158" s="24" t="str">
        <f t="array" ref="C158">IFERROR(INDEX(Base!I:I,MATCH(B158,Base!A:A,0)),"Nome do Cliente")
</f>
        <v>Daniel Macagnan</v>
      </c>
      <c r="D158" s="79" t="str">
        <f t="array" ref="D158">IFERROR(INDEX(Base!G:G,MATCH(B158,Base!A:A,0)),"Modelo da Cond.")</f>
        <v>AJ020ANAPKH2AZ</v>
      </c>
      <c r="E158" s="79" t="str">
        <f t="array" ref="E158">IFERROR(INDEX(Base!H:H,MATCH(B158,Base!A:A,0)),"N° Serial")</f>
        <v>M000</v>
      </c>
      <c r="F158" s="79">
        <f t="shared" si="1"/>
        <v>32</v>
      </c>
      <c r="G158" s="11" t="s">
        <v>23</v>
      </c>
      <c r="H158" s="80" t="b">
        <v>0</v>
      </c>
      <c r="I158" s="81"/>
      <c r="J158" s="82"/>
      <c r="K158" s="60"/>
      <c r="L158" s="83" t="b">
        <v>0</v>
      </c>
      <c r="M158" s="84"/>
      <c r="N158" s="80" t="b">
        <v>0</v>
      </c>
      <c r="O158" s="88"/>
      <c r="P158" s="14"/>
      <c r="Q158" s="88"/>
      <c r="R158" s="88"/>
      <c r="S158" s="84"/>
      <c r="T158" s="85"/>
      <c r="U158" s="20"/>
      <c r="V158" s="86"/>
    </row>
    <row r="159" ht="22.5" customHeight="1">
      <c r="A159" s="78" t="str">
        <f>IFERROR(__xludf.DUMMYFUNCTION("IFERROR(TO_TEXT(INDEX(Base!E:E, MATCH(B159, Base!A:A, 0))), ""mm.dd.yyyy"")
"),"03.20.2026")</f>
        <v>03.20.2026</v>
      </c>
      <c r="B159" s="8" t="s">
        <v>237</v>
      </c>
      <c r="C159" s="24" t="str">
        <f t="array" ref="C159">IFERROR(INDEX(Base!I:I,MATCH(B159,Base!A:A,0)),"Nome do Cliente")
</f>
        <v>FREDERICO DE CAMPOS VENTRIGLIA</v>
      </c>
      <c r="D159" s="79" t="str">
        <f t="array" ref="D159">IFERROR(INDEX(Base!G:G,MATCH(B159,Base!A:A,0)),"Modelo da Cond.")</f>
        <v>AC024DN1DKG/AZ</v>
      </c>
      <c r="E159" s="79" t="str">
        <f t="array" ref="E159">IFERROR(INDEX(Base!H:H,MATCH(B159,Base!A:A,0)),"N° Serial")</f>
        <v>M000</v>
      </c>
      <c r="F159" s="79">
        <f t="shared" si="1"/>
        <v>30</v>
      </c>
      <c r="G159" s="11" t="s">
        <v>23</v>
      </c>
      <c r="H159" s="80" t="b">
        <v>0</v>
      </c>
      <c r="I159" s="81"/>
      <c r="J159" s="82"/>
      <c r="K159" s="60"/>
      <c r="L159" s="83" t="b">
        <v>0</v>
      </c>
      <c r="M159" s="84"/>
      <c r="N159" s="80" t="b">
        <v>0</v>
      </c>
      <c r="O159" s="88"/>
      <c r="P159" s="14"/>
      <c r="Q159" s="88"/>
      <c r="R159" s="88"/>
      <c r="S159" s="84"/>
      <c r="T159" s="85"/>
      <c r="U159" s="20"/>
      <c r="V159" s="86"/>
    </row>
    <row r="160" ht="22.5" customHeight="1">
      <c r="A160" s="78" t="str">
        <f>IFERROR(__xludf.DUMMYFUNCTION("IFERROR(TO_TEXT(INDEX(Base!E:E, MATCH(B160, Base!A:A, 0))), ""mm.dd.yyyy"")
"),"04.15.2026")</f>
        <v>04.15.2026</v>
      </c>
      <c r="B160" s="8" t="s">
        <v>238</v>
      </c>
      <c r="C160" s="24" t="str">
        <f t="array" ref="C160">IFERROR(INDEX(Base!I:I,MATCH(B160,Base!A:A,0)),"Nome do Cliente")
</f>
        <v>Samuel Ebel Braga Ramos</v>
      </c>
      <c r="D160" s="79" t="str">
        <f t="array" ref="D160">IFERROR(INDEX(Base!G:G,MATCH(B160,Base!A:A,0)),"Modelo da Cond.")</f>
        <v>AJ068ANAPKH/AZ</v>
      </c>
      <c r="E160" s="79" t="str">
        <f t="array" ref="E160">IFERROR(INDEX(Base!H:H,MATCH(B160,Base!A:A,0)),"N° Serial")</f>
        <v>M000</v>
      </c>
      <c r="F160" s="79">
        <f t="shared" si="1"/>
        <v>4</v>
      </c>
      <c r="G160" s="11" t="s">
        <v>23</v>
      </c>
      <c r="H160" s="80" t="b">
        <v>0</v>
      </c>
      <c r="I160" s="81"/>
      <c r="J160" s="82"/>
      <c r="K160" s="60"/>
      <c r="L160" s="83" t="b">
        <v>0</v>
      </c>
      <c r="M160" s="84"/>
      <c r="N160" s="80" t="b">
        <v>0</v>
      </c>
      <c r="O160" s="88"/>
      <c r="P160" s="14"/>
      <c r="Q160" s="88"/>
      <c r="R160" s="88"/>
      <c r="S160" s="84"/>
      <c r="T160" s="85"/>
      <c r="U160" s="20"/>
      <c r="V160" s="86"/>
    </row>
    <row r="161" ht="22.5" customHeight="1">
      <c r="A161" s="78" t="str">
        <f>IFERROR(__xludf.DUMMYFUNCTION("IFERROR(TO_TEXT(INDEX(Base!E:E, MATCH(B161, Base!A:A, 0))), ""mm.dd.yyyy"")
"),"04.15.2026")</f>
        <v>04.15.2026</v>
      </c>
      <c r="B161" s="8" t="s">
        <v>239</v>
      </c>
      <c r="C161" s="24" t="str">
        <f t="array" ref="C161">IFERROR(INDEX(Base!I:I,MATCH(B161,Base!A:A,0)),"Nome do Cliente")
</f>
        <v>Rogerio Henrique Zanin</v>
      </c>
      <c r="D161" s="79" t="str">
        <f t="array" ref="D161">IFERROR(INDEX(Base!G:G,MATCH(B161,Base!A:A,0)),"Modelo da Cond.")</f>
        <v>AC060DXADKG/AZ</v>
      </c>
      <c r="E161" s="79" t="str">
        <f t="array" ref="E161">IFERROR(INDEX(Base!H:H,MATCH(B161,Base!A:A,0)),"N° Serial")</f>
        <v>0315PXBY100125M</v>
      </c>
      <c r="F161" s="79">
        <f t="shared" si="1"/>
        <v>4</v>
      </c>
      <c r="G161" s="11" t="s">
        <v>23</v>
      </c>
      <c r="H161" s="80" t="b">
        <v>0</v>
      </c>
      <c r="I161" s="81"/>
      <c r="J161" s="82"/>
      <c r="K161" s="60"/>
      <c r="L161" s="83" t="b">
        <v>0</v>
      </c>
      <c r="M161" s="84"/>
      <c r="N161" s="80" t="b">
        <v>0</v>
      </c>
      <c r="O161" s="88"/>
      <c r="P161" s="14"/>
      <c r="Q161" s="88"/>
      <c r="R161" s="88"/>
      <c r="S161" s="84"/>
      <c r="T161" s="85"/>
      <c r="U161" s="20"/>
      <c r="V161" s="86"/>
    </row>
    <row r="162" ht="22.5" customHeight="1">
      <c r="A162" s="78" t="str">
        <f>IFERROR(__xludf.DUMMYFUNCTION("IFERROR(TO_TEXT(INDEX(Base!E:E, MATCH(B162, Base!A:A, 0))), ""mm.dd.yyyy"")
"),"04.15.2026")</f>
        <v>04.15.2026</v>
      </c>
      <c r="B162" s="8" t="s">
        <v>240</v>
      </c>
      <c r="C162" s="24" t="str">
        <f t="array" ref="C162">IFERROR(INDEX(Base!I:I,MATCH(B162,Base!A:A,0)),"Nome do Cliente")
</f>
        <v>Fred Kenji Eada</v>
      </c>
      <c r="D162" s="79" t="str">
        <f t="array" ref="D162">IFERROR(INDEX(Base!G:G,MATCH(B162,Base!A:A,0)),"Modelo da Cond.")</f>
        <v>AM009KNQDCH/AZ</v>
      </c>
      <c r="E162" s="79" t="str">
        <f t="array" ref="E162">IFERROR(INDEX(Base!H:H,MATCH(B162,Base!A:A,0)),"N° Serial")</f>
        <v>0RAVPAGWC00018Z</v>
      </c>
      <c r="F162" s="79">
        <f t="shared" si="1"/>
        <v>4</v>
      </c>
      <c r="G162" s="11" t="s">
        <v>23</v>
      </c>
      <c r="H162" s="80" t="b">
        <v>0</v>
      </c>
      <c r="I162" s="81"/>
      <c r="J162" s="82"/>
      <c r="K162" s="60"/>
      <c r="L162" s="83" t="b">
        <v>0</v>
      </c>
      <c r="M162" s="84"/>
      <c r="N162" s="80" t="b">
        <v>0</v>
      </c>
      <c r="O162" s="88"/>
      <c r="P162" s="14"/>
      <c r="Q162" s="88"/>
      <c r="R162" s="88"/>
      <c r="S162" s="84"/>
      <c r="T162" s="85"/>
      <c r="U162" s="20"/>
      <c r="V162" s="86"/>
    </row>
    <row r="163" ht="22.5" customHeight="1">
      <c r="A163" s="78" t="str">
        <f>IFERROR(__xludf.DUMMYFUNCTION("IFERROR(TO_TEXT(INDEX(Base!E:E, MATCH(B163, Base!A:A, 0))), ""mm.dd.yyyy"")
"),"04.14.2026")</f>
        <v>04.14.2026</v>
      </c>
      <c r="B163" s="8" t="s">
        <v>241</v>
      </c>
      <c r="C163" s="24" t="str">
        <f t="array" ref="C163">IFERROR(INDEX(Base!I:I,MATCH(B163,Base!A:A,0)),"Nome do Cliente")
</f>
        <v>CONSTRUTORA DOTTO</v>
      </c>
      <c r="D163" s="79" t="str">
        <f t="array" ref="D163">IFERROR(INDEX(Base!G:G,MATCH(B163,Base!A:A,0)),"Modelo da Cond.")</f>
        <v>AC048DXADKG/AZ</v>
      </c>
      <c r="E163" s="79" t="str">
        <f t="array" ref="E163">IFERROR(INDEX(Base!H:H,MATCH(B163,Base!A:A,0)),"N° Serial")</f>
        <v>M000</v>
      </c>
      <c r="F163" s="79">
        <f t="shared" si="1"/>
        <v>5</v>
      </c>
      <c r="G163" s="11" t="s">
        <v>23</v>
      </c>
      <c r="H163" s="80" t="b">
        <v>1</v>
      </c>
      <c r="I163" s="81">
        <v>46127.0</v>
      </c>
      <c r="J163" s="82"/>
      <c r="K163" s="60"/>
      <c r="L163" s="83" t="b">
        <v>0</v>
      </c>
      <c r="M163" s="84"/>
      <c r="N163" s="80" t="b">
        <v>0</v>
      </c>
      <c r="O163" s="88"/>
      <c r="P163" s="14"/>
      <c r="Q163" s="88"/>
      <c r="R163" s="88"/>
      <c r="S163" s="84"/>
      <c r="T163" s="85"/>
      <c r="U163" s="20"/>
      <c r="V163" s="86"/>
    </row>
    <row r="164" ht="22.5" customHeight="1">
      <c r="A164" s="78" t="str">
        <f>IFERROR(__xludf.DUMMYFUNCTION("IFERROR(TO_TEXT(INDEX(Base!E:E, MATCH(B164, Base!A:A, 0))), ""mm.dd.yyyy"")
"),"04.16.2026")</f>
        <v>04.16.2026</v>
      </c>
      <c r="B164" s="90" t="s">
        <v>242</v>
      </c>
      <c r="C164" s="24" t="str">
        <f t="array" ref="C164">IFERROR(INDEX(Base!I:I,MATCH(B164,Base!A:A,0)),"Nome do Cliente")
</f>
        <v>Amy Chaves</v>
      </c>
      <c r="D164" s="79" t="str">
        <f t="array" ref="D164">IFERROR(INDEX(Base!G:G,MATCH(B164,Base!A:A,0)),"Modelo da Cond.")</f>
        <v>AC024DXADKG/AZ</v>
      </c>
      <c r="E164" s="79" t="str">
        <f t="array" ref="E164">IFERROR(INDEX(Base!H:H,MATCH(B164,Base!A:A,0)),"N° Serial")</f>
        <v>M000</v>
      </c>
      <c r="F164" s="79">
        <f t="shared" si="1"/>
        <v>3</v>
      </c>
      <c r="G164" s="11"/>
      <c r="H164" s="80" t="b">
        <v>0</v>
      </c>
      <c r="I164" s="81"/>
      <c r="J164" s="82"/>
      <c r="K164" s="60"/>
      <c r="L164" s="83" t="b">
        <v>0</v>
      </c>
      <c r="M164" s="84"/>
      <c r="N164" s="80" t="b">
        <v>0</v>
      </c>
      <c r="O164" s="88"/>
      <c r="P164" s="14"/>
      <c r="Q164" s="88"/>
      <c r="R164" s="88"/>
      <c r="S164" s="84"/>
      <c r="T164" s="85"/>
      <c r="U164" s="20"/>
      <c r="V164" s="86"/>
    </row>
    <row r="165" ht="22.5" customHeight="1">
      <c r="A165" s="78" t="str">
        <f>IFERROR(__xludf.DUMMYFUNCTION("IFERROR(TO_TEXT(INDEX(Base!E:E, MATCH(B165, Base!A:A, 0))), ""mm.dd.yyyy"")
"),"04.16.2026")</f>
        <v>04.16.2026</v>
      </c>
      <c r="B165" s="90" t="s">
        <v>243</v>
      </c>
      <c r="C165" s="24" t="str">
        <f t="array" ref="C165">IFERROR(INDEX(Base!I:I,MATCH(B165,Base!A:A,0)),"Nome do Cliente")
</f>
        <v>Elton José Gonsales Fontes</v>
      </c>
      <c r="D165" s="79" t="str">
        <f t="array" ref="D165">IFERROR(INDEX(Base!G:G,MATCH(B165,Base!A:A,0)),"Modelo da Cond.")</f>
        <v>AM220CXVAFH/AZ</v>
      </c>
      <c r="E165" s="79" t="str">
        <f t="array" ref="E165">IFERROR(INDEX(Base!H:H,MATCH(B165,Base!A:A,0)),"N° Serial")</f>
        <v>0YP0PAOX400032Z</v>
      </c>
      <c r="F165" s="79">
        <f t="shared" si="1"/>
        <v>3</v>
      </c>
      <c r="G165" s="11"/>
      <c r="H165" s="80" t="b">
        <v>0</v>
      </c>
      <c r="I165" s="81"/>
      <c r="J165" s="82"/>
      <c r="K165" s="60"/>
      <c r="L165" s="83" t="b">
        <v>0</v>
      </c>
      <c r="M165" s="84"/>
      <c r="N165" s="80" t="b">
        <v>0</v>
      </c>
      <c r="O165" s="88"/>
      <c r="P165" s="14"/>
      <c r="Q165" s="88"/>
      <c r="R165" s="88"/>
      <c r="S165" s="84"/>
      <c r="T165" s="85"/>
      <c r="U165" s="20"/>
      <c r="V165" s="86"/>
    </row>
    <row r="166" ht="22.5" customHeight="1">
      <c r="A166" s="78" t="str">
        <f>IFERROR(__xludf.DUMMYFUNCTION("IFERROR(TO_TEXT(INDEX(Base!E:E, MATCH(B166, Base!A:A, 0))), ""mm.dd.yyyy"")
"),"04.17.2026")</f>
        <v>04.17.2026</v>
      </c>
      <c r="B166" s="90" t="s">
        <v>244</v>
      </c>
      <c r="C166" s="24" t="str">
        <f t="array" ref="C166">IFERROR(INDEX(Base!I:I,MATCH(B166,Base!A:A,0)),"Nome do Cliente")
</f>
        <v>Adriano Pagni Buzaid</v>
      </c>
      <c r="D166" s="79" t="str">
        <f t="array" ref="D166">IFERROR(INDEX(Base!G:G,MATCH(B166,Base!A:A,0)),"Modelo da Cond.")</f>
        <v>AM180JNHFKH/EU</v>
      </c>
      <c r="E166" s="79" t="str">
        <f t="array" ref="E166">IFERROR(INDEX(Base!H:H,MATCH(B166,Base!A:A,0)),"N° Serial")</f>
        <v>0DFCPAOXA00071Z</v>
      </c>
      <c r="F166" s="79">
        <f t="shared" si="1"/>
        <v>2</v>
      </c>
      <c r="G166" s="11"/>
      <c r="H166" s="80" t="b">
        <v>0</v>
      </c>
      <c r="I166" s="81"/>
      <c r="J166" s="82"/>
      <c r="K166" s="60"/>
      <c r="L166" s="83" t="b">
        <v>0</v>
      </c>
      <c r="M166" s="84"/>
      <c r="N166" s="80" t="b">
        <v>0</v>
      </c>
      <c r="O166" s="88"/>
      <c r="P166" s="14"/>
      <c r="Q166" s="88"/>
      <c r="R166" s="88"/>
      <c r="S166" s="84"/>
      <c r="T166" s="85"/>
      <c r="U166" s="20"/>
      <c r="V166" s="86"/>
    </row>
    <row r="167" ht="22.5" customHeight="1">
      <c r="A167" s="78" t="str">
        <f>IFERROR(__xludf.DUMMYFUNCTION("IFERROR(TO_TEXT(INDEX(Base!E:E, MATCH(B167, Base!A:A, 0))), ""mm.dd.yyyy"")
"),"04.17.2026")</f>
        <v>04.17.2026</v>
      </c>
      <c r="B167" s="90" t="s">
        <v>245</v>
      </c>
      <c r="C167" s="24" t="str">
        <f t="array" ref="C167">IFERROR(INDEX(Base!I:I,MATCH(B167,Base!A:A,0)),"Nome do Cliente")
</f>
        <v>Renata Escarpelli</v>
      </c>
      <c r="D167" s="79" t="str">
        <f t="array" ref="D167">IFERROR(INDEX(Base!G:G,MATCH(B167,Base!A:A,0)),"Modelo da Cond.")</f>
        <v>AM180CXVAFH/AZ</v>
      </c>
      <c r="E167" s="79" t="str">
        <f t="array" ref="E167">IFERROR(INDEX(Base!H:H,MATCH(B167,Base!A:A,0)),"N° Serial")</f>
        <v>0YNYPAOXB00025R</v>
      </c>
      <c r="F167" s="79">
        <f t="shared" si="1"/>
        <v>2</v>
      </c>
      <c r="G167" s="11"/>
      <c r="H167" s="80" t="b">
        <v>0</v>
      </c>
      <c r="I167" s="81"/>
      <c r="J167" s="82"/>
      <c r="K167" s="60"/>
      <c r="L167" s="83" t="b">
        <v>0</v>
      </c>
      <c r="M167" s="84"/>
      <c r="N167" s="80" t="b">
        <v>0</v>
      </c>
      <c r="O167" s="88"/>
      <c r="P167" s="14"/>
      <c r="Q167" s="88"/>
      <c r="R167" s="88"/>
      <c r="S167" s="84"/>
      <c r="T167" s="85"/>
      <c r="U167" s="20"/>
      <c r="V167" s="86"/>
    </row>
    <row r="168" ht="22.5" customHeight="1">
      <c r="A168" s="78" t="str">
        <f>IFERROR(__xludf.DUMMYFUNCTION("IFERROR(TO_TEXT(INDEX(Base!E:E, MATCH(B168, Base!A:A, 0))), ""mm.dd.yyyy"")
"),"04.17.2026")</f>
        <v>04.17.2026</v>
      </c>
      <c r="B168" s="90" t="s">
        <v>246</v>
      </c>
      <c r="C168" s="24" t="str">
        <f t="array" ref="C168">IFERROR(INDEX(Base!I:I,MATCH(B168,Base!A:A,0)),"Nome do Cliente")
</f>
        <v>Climatizar Ar condicionado eireli</v>
      </c>
      <c r="D168" s="79" t="str">
        <f t="array" ref="D168">IFERROR(INDEX(Base!G:G,MATCH(B168,Base!A:A,0)),"Modelo da Cond.")</f>
        <v>AM040KXMDCH/AZ</v>
      </c>
      <c r="E168" s="79" t="str">
        <f t="array" ref="E168">IFERROR(INDEX(Base!H:H,MATCH(B168,Base!A:A,0)),"N° Serial")</f>
        <v>0R9JPAOX600026J</v>
      </c>
      <c r="F168" s="79">
        <f t="shared" si="1"/>
        <v>2</v>
      </c>
      <c r="G168" s="11"/>
      <c r="H168" s="80" t="b">
        <v>0</v>
      </c>
      <c r="I168" s="81"/>
      <c r="J168" s="82"/>
      <c r="K168" s="60"/>
      <c r="L168" s="83" t="b">
        <v>0</v>
      </c>
      <c r="M168" s="84"/>
      <c r="N168" s="80" t="b">
        <v>0</v>
      </c>
      <c r="O168" s="88"/>
      <c r="P168" s="14"/>
      <c r="Q168" s="88"/>
      <c r="R168" s="88"/>
      <c r="S168" s="84"/>
      <c r="T168" s="85"/>
      <c r="U168" s="20"/>
      <c r="V168" s="86"/>
    </row>
    <row r="169" ht="22.5" customHeight="1">
      <c r="A169" s="78" t="str">
        <f>IFERROR(__xludf.DUMMYFUNCTION("IFERROR(TO_TEXT(INDEX(Base!E:E, MATCH(B169, Base!A:A, 0))), ""mm.dd.yyyy"")
"),"04.17.2026")</f>
        <v>04.17.2026</v>
      </c>
      <c r="B169" s="90" t="s">
        <v>247</v>
      </c>
      <c r="C169" s="24" t="str">
        <f t="array" ref="C169">IFERROR(INDEX(Base!I:I,MATCH(B169,Base!A:A,0)),"Nome do Cliente")
</f>
        <v>Eder Henrique Gomes de Sousa</v>
      </c>
      <c r="D169" s="79" t="str">
        <f t="array" ref="D169">IFERROR(INDEX(Base!G:G,MATCH(B169,Base!A:A,0)),"Modelo da Cond.")</f>
        <v>AM120KXMDFH/TC</v>
      </c>
      <c r="E169" s="79" t="str">
        <f t="array" ref="E169">IFERROR(INDEX(Base!H:H,MATCH(B169,Base!A:A,0)),"N° Serial")</f>
        <v>0FHNPAOW300045A</v>
      </c>
      <c r="F169" s="79">
        <f t="shared" si="1"/>
        <v>2</v>
      </c>
      <c r="G169" s="11"/>
      <c r="H169" s="80" t="b">
        <v>0</v>
      </c>
      <c r="I169" s="81"/>
      <c r="J169" s="82"/>
      <c r="K169" s="60"/>
      <c r="L169" s="83" t="b">
        <v>0</v>
      </c>
      <c r="M169" s="84"/>
      <c r="N169" s="80" t="b">
        <v>0</v>
      </c>
      <c r="O169" s="88"/>
      <c r="P169" s="14"/>
      <c r="Q169" s="88"/>
      <c r="R169" s="88"/>
      <c r="S169" s="84"/>
      <c r="T169" s="85"/>
      <c r="U169" s="20"/>
      <c r="V169" s="86"/>
    </row>
  </sheetData>
  <customSheetViews>
    <customSheetView guid="{69668919-2663-440F-AB34-F15310A4902E}" filter="1" showAutoFilter="1">
      <autoFilter ref="$A$1:$V$169">
        <filterColumn colId="14">
          <filters>
            <filter val="Não"/>
          </filters>
        </filterColumn>
      </autoFilter>
    </customSheetView>
    <customSheetView guid="{22FFFAB2-F6CF-43A5-B98D-732D7CD66B0E}" filter="1" showAutoFilter="1">
      <autoFilter ref="$A$1:$V$169"/>
    </customSheetView>
    <customSheetView guid="{5822D074-BA6B-4988-AB8E-EF0466C17D75}" filter="1" showAutoFilter="1">
      <autoFilter ref="$A$1:$V$169">
        <filterColumn colId="16">
          <filters>
            <filter val="Não iniciado"/>
            <filter val="Em execução"/>
          </filters>
        </filterColumn>
      </autoFilter>
    </customSheetView>
    <customSheetView guid="{E6D33563-E5F0-4B2A-A0BC-5C4C6E977616}" filter="1" showAutoFilter="1">
      <autoFilter ref="$A$1:$V$169">
        <filterColumn colId="16">
          <filters>
            <filter val="Realizado, não lançado"/>
            <filter val="Em execução"/>
          </filters>
        </filterColumn>
      </autoFilter>
    </customSheetView>
    <customSheetView guid="{B49FDA03-9767-40F7-8F51-3DFB58666176}" filter="1" showAutoFilter="1">
      <autoFilter ref="$A$1:$V$169">
        <filterColumn colId="7">
          <filters blank="1">
            <filter val="FALSE"/>
          </filters>
        </filterColumn>
      </autoFilter>
    </customSheetView>
    <customSheetView guid="{9D6042CD-D65E-4661-9EF4-204613E3FA0B}" filter="1" showAutoFilter="1">
      <autoFilter ref="$A$1:$V$169"/>
    </customSheetView>
    <customSheetView guid="{D995611F-81BF-475E-8BDF-81664A5280AB}" filter="1" showAutoFilter="1">
      <autoFilter ref="$A$1:$V$169">
        <filterColumn colId="17">
          <filters>
            <filter val="Realizado, não lançado"/>
          </filters>
        </filterColumn>
      </autoFilter>
    </customSheetView>
    <customSheetView guid="{1D463ABE-0C92-4506-8A05-19314F1B041D}" filter="1" showAutoFilter="1">
      <autoFilter ref="$A$1:$V$169">
        <filterColumn colId="16">
          <filters blank="1">
            <filter val="Não iniciado"/>
            <filter val="Em execução"/>
            <filter val="Realizado e lançado"/>
          </filters>
        </filterColumn>
        <filterColumn colId="17">
          <filters>
            <filter val="Realizado e lançado"/>
          </filters>
        </filterColumn>
      </autoFilter>
    </customSheetView>
    <customSheetView guid="{8B3A8171-09DE-4D4B-A5FD-DCC57C010708}" filter="1" showAutoFilter="1">
      <autoFilter ref="$A$1:$V$169">
        <filterColumn colId="9">
          <filters>
            <filter val="Sim"/>
          </filters>
        </filterColumn>
      </autoFilter>
    </customSheetView>
    <customSheetView guid="{1803DDD4-0FF9-4C5A-9798-6D09518484AB}" filter="1" showAutoFilter="1">
      <autoFilter ref="$A$1:$V$169">
        <filterColumn colId="17">
          <filters>
            <filter val="Não iniciado"/>
          </filters>
        </filterColumn>
      </autoFilter>
    </customSheetView>
    <customSheetView guid="{4BC471C5-5F0C-4025-B5E3-F01DFB2A8F2F}" filter="1" showAutoFilter="1">
      <autoFilter ref="$A$1:$V$169">
        <filterColumn colId="9">
          <filters>
            <filter val="Sim"/>
          </filters>
        </filterColumn>
      </autoFilter>
    </customSheetView>
  </customSheetViews>
  <dataValidations>
    <dataValidation type="list" allowBlank="1" sqref="P2:P169">
      <formula1>"Sim,Não"</formula1>
    </dataValidation>
    <dataValidation type="list" allowBlank="1" sqref="O2:O169">
      <formula1>"Sim,Não"</formula1>
    </dataValidation>
    <dataValidation type="list" allowBlank="1" sqref="R2:R169">
      <formula1>"Não iniciado,Em execução,Realizado, não lançado,Realizado e lançado,Lançado em outra OS,Não necessário"</formula1>
    </dataValidation>
    <dataValidation type="list" allowBlank="1" sqref="J2:J169">
      <formula1>"Sim,Não"</formula1>
    </dataValidation>
    <dataValidation type="custom" allowBlank="1" showDropDown="1" sqref="I2:I169 M2:M169 S2:S169">
      <formula1>OR(NOT(ISERROR(DATEVALUE(I2))), AND(ISNUMBER(I2), LEFT(CELL("format", I2))="D"))</formula1>
    </dataValidation>
    <dataValidation allowBlank="1" showDropDown="1" sqref="B2:C169 U2:V169"/>
    <dataValidation type="list" allowBlank="1" sqref="G2:G169 K2:K169">
      <formula1>"Não,Sim, não solicitada,Sim, solicitada,Sim, em estoque"</formula1>
    </dataValidation>
    <dataValidation type="list" allowBlank="1" sqref="Q2:Q169">
      <formula1>"Não iniciado,Em execução,Realizado, não lançado,Realizado e lançado,Não necessário"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5.5"/>
    <col customWidth="1" min="3" max="3" width="23.25"/>
    <col customWidth="1" min="4" max="4" width="15.13"/>
  </cols>
  <sheetData>
    <row r="1" ht="22.5" customHeight="1">
      <c r="A1" s="3" t="s">
        <v>248</v>
      </c>
      <c r="B1" s="3" t="s">
        <v>2</v>
      </c>
      <c r="C1" s="3" t="s">
        <v>18</v>
      </c>
      <c r="D1" s="3" t="s">
        <v>21</v>
      </c>
    </row>
    <row r="2" ht="22.5" customHeight="1">
      <c r="A2" s="8" t="s">
        <v>249</v>
      </c>
      <c r="B2" s="98" t="s">
        <v>250</v>
      </c>
      <c r="C2" s="23">
        <v>45853.0</v>
      </c>
      <c r="D2" s="19"/>
    </row>
    <row r="3" ht="22.5" customHeight="1">
      <c r="A3" s="8" t="s">
        <v>251</v>
      </c>
      <c r="B3" s="98" t="s">
        <v>252</v>
      </c>
      <c r="C3" s="23">
        <v>45854.0</v>
      </c>
      <c r="D3" s="19"/>
    </row>
    <row r="4" ht="22.5" customHeight="1">
      <c r="A4" s="8" t="s">
        <v>253</v>
      </c>
      <c r="B4" s="98" t="s">
        <v>254</v>
      </c>
      <c r="C4" s="23">
        <v>45854.0</v>
      </c>
      <c r="D4" s="19"/>
    </row>
    <row r="5" ht="22.5" customHeight="1">
      <c r="A5" s="8" t="s">
        <v>255</v>
      </c>
      <c r="B5" s="98" t="s">
        <v>256</v>
      </c>
      <c r="C5" s="23">
        <v>45854.0</v>
      </c>
      <c r="D5" s="19"/>
    </row>
    <row r="6" ht="22.5" customHeight="1">
      <c r="A6" s="8" t="s">
        <v>257</v>
      </c>
      <c r="B6" s="98" t="s">
        <v>258</v>
      </c>
      <c r="C6" s="23">
        <v>45854.0</v>
      </c>
      <c r="D6" s="21" t="s">
        <v>259</v>
      </c>
    </row>
    <row r="7" ht="22.5" customHeight="1">
      <c r="A7" s="8" t="s">
        <v>260</v>
      </c>
      <c r="B7" s="98" t="s">
        <v>261</v>
      </c>
      <c r="C7" s="23">
        <v>45854.0</v>
      </c>
      <c r="D7" s="19"/>
    </row>
    <row r="8" ht="22.5" customHeight="1">
      <c r="A8" s="8" t="s">
        <v>262</v>
      </c>
      <c r="B8" s="98" t="s">
        <v>263</v>
      </c>
      <c r="C8" s="23">
        <v>45854.0</v>
      </c>
      <c r="D8" s="21" t="s">
        <v>259</v>
      </c>
    </row>
    <row r="9" ht="22.5" customHeight="1">
      <c r="A9" s="8" t="s">
        <v>264</v>
      </c>
      <c r="B9" s="98" t="s">
        <v>265</v>
      </c>
      <c r="C9" s="23">
        <v>45855.0</v>
      </c>
      <c r="D9" s="19"/>
    </row>
    <row r="10" ht="22.5" customHeight="1">
      <c r="A10" s="8" t="s">
        <v>266</v>
      </c>
      <c r="B10" s="98" t="s">
        <v>267</v>
      </c>
      <c r="C10" s="23">
        <v>45855.0</v>
      </c>
      <c r="D10" s="21" t="s">
        <v>268</v>
      </c>
    </row>
    <row r="11" ht="22.5" customHeight="1">
      <c r="A11" s="99" t="s">
        <v>269</v>
      </c>
      <c r="B11" s="98" t="s">
        <v>270</v>
      </c>
      <c r="C11" s="23">
        <v>45856.0</v>
      </c>
      <c r="D11" s="21" t="s">
        <v>268</v>
      </c>
    </row>
    <row r="12" ht="22.5" customHeight="1">
      <c r="A12" s="8" t="s">
        <v>271</v>
      </c>
      <c r="B12" s="98" t="s">
        <v>258</v>
      </c>
      <c r="C12" s="23">
        <v>45856.0</v>
      </c>
      <c r="D12" s="21" t="s">
        <v>268</v>
      </c>
    </row>
    <row r="13" ht="22.5" customHeight="1">
      <c r="A13" s="8" t="s">
        <v>272</v>
      </c>
      <c r="B13" s="98" t="s">
        <v>273</v>
      </c>
      <c r="C13" s="23">
        <v>45859.0</v>
      </c>
      <c r="D13" s="19"/>
    </row>
    <row r="14" ht="22.5" customHeight="1">
      <c r="A14" s="8" t="s">
        <v>274</v>
      </c>
      <c r="B14" s="98" t="s">
        <v>275</v>
      </c>
      <c r="C14" s="23">
        <v>45860.0</v>
      </c>
      <c r="D14" s="19"/>
    </row>
    <row r="15" ht="22.5" customHeight="1">
      <c r="A15" s="8" t="s">
        <v>276</v>
      </c>
      <c r="B15" s="98" t="s">
        <v>277</v>
      </c>
      <c r="C15" s="23">
        <v>45861.0</v>
      </c>
      <c r="D15" s="19"/>
    </row>
    <row r="16" ht="22.5" customHeight="1">
      <c r="A16" s="8" t="s">
        <v>278</v>
      </c>
      <c r="B16" s="98" t="s">
        <v>279</v>
      </c>
      <c r="C16" s="23">
        <v>45863.0</v>
      </c>
      <c r="D16" s="21" t="s">
        <v>268</v>
      </c>
    </row>
    <row r="17" ht="22.5" customHeight="1">
      <c r="A17" s="8" t="s">
        <v>280</v>
      </c>
      <c r="B17" s="98" t="s">
        <v>281</v>
      </c>
      <c r="C17" s="23">
        <v>45863.0</v>
      </c>
      <c r="D17" s="19"/>
    </row>
    <row r="18" ht="22.5" customHeight="1">
      <c r="A18" s="8" t="s">
        <v>282</v>
      </c>
      <c r="B18" s="98" t="s">
        <v>281</v>
      </c>
      <c r="C18" s="23">
        <v>45863.0</v>
      </c>
      <c r="D18" s="19"/>
    </row>
    <row r="19" ht="22.5" customHeight="1">
      <c r="A19" s="8" t="s">
        <v>283</v>
      </c>
      <c r="B19" s="98" t="s">
        <v>281</v>
      </c>
      <c r="C19" s="23">
        <v>45863.0</v>
      </c>
      <c r="D19" s="19"/>
    </row>
    <row r="20" ht="22.5" customHeight="1">
      <c r="A20" s="8" t="s">
        <v>284</v>
      </c>
      <c r="B20" s="98" t="s">
        <v>281</v>
      </c>
      <c r="C20" s="23">
        <v>45863.0</v>
      </c>
      <c r="D20" s="19"/>
    </row>
    <row r="21" ht="22.5" customHeight="1">
      <c r="A21" s="8" t="s">
        <v>285</v>
      </c>
      <c r="B21" s="98" t="s">
        <v>286</v>
      </c>
      <c r="C21" s="23">
        <v>45863.0</v>
      </c>
      <c r="D21" s="19"/>
    </row>
    <row r="22" ht="22.5" customHeight="1">
      <c r="A22" s="21" t="s">
        <v>274</v>
      </c>
      <c r="B22" s="21" t="s">
        <v>287</v>
      </c>
      <c r="C22" s="23">
        <v>45863.0</v>
      </c>
      <c r="D22" s="19"/>
    </row>
    <row r="23" ht="22.5" customHeight="1">
      <c r="A23" s="8" t="s">
        <v>288</v>
      </c>
      <c r="B23" s="98" t="s">
        <v>289</v>
      </c>
      <c r="C23" s="23">
        <v>45866.0</v>
      </c>
      <c r="D23" s="19"/>
    </row>
    <row r="24" ht="22.5" customHeight="1">
      <c r="A24" s="8" t="s">
        <v>290</v>
      </c>
      <c r="B24" s="98" t="s">
        <v>291</v>
      </c>
      <c r="C24" s="23">
        <v>45867.0</v>
      </c>
      <c r="D24" s="19"/>
    </row>
    <row r="25" ht="22.5" customHeight="1">
      <c r="A25" s="8" t="s">
        <v>292</v>
      </c>
      <c r="B25" s="98" t="s">
        <v>293</v>
      </c>
      <c r="C25" s="23">
        <v>45867.0</v>
      </c>
      <c r="D25" s="21" t="s">
        <v>268</v>
      </c>
    </row>
    <row r="26" ht="22.5" customHeight="1">
      <c r="A26" s="8" t="s">
        <v>294</v>
      </c>
      <c r="B26" s="98" t="s">
        <v>295</v>
      </c>
      <c r="C26" s="23">
        <v>45867.0</v>
      </c>
      <c r="D26" s="21" t="s">
        <v>268</v>
      </c>
    </row>
    <row r="27" ht="22.5" customHeight="1">
      <c r="A27" s="8" t="s">
        <v>296</v>
      </c>
      <c r="B27" s="98" t="s">
        <v>270</v>
      </c>
      <c r="C27" s="23">
        <v>45875.0</v>
      </c>
      <c r="D27" s="19"/>
    </row>
    <row r="28" ht="22.5" customHeight="1">
      <c r="A28" s="8" t="s">
        <v>297</v>
      </c>
      <c r="B28" s="98" t="s">
        <v>298</v>
      </c>
      <c r="C28" s="23">
        <v>45875.0</v>
      </c>
      <c r="D28" s="21" t="s">
        <v>268</v>
      </c>
    </row>
    <row r="29" ht="22.5" customHeight="1">
      <c r="A29" s="90" t="s">
        <v>299</v>
      </c>
      <c r="B29" s="98" t="s">
        <v>300</v>
      </c>
      <c r="C29" s="23">
        <v>45875.0</v>
      </c>
      <c r="D29" s="19"/>
    </row>
    <row r="30" ht="22.5" customHeight="1">
      <c r="A30" s="8" t="s">
        <v>301</v>
      </c>
      <c r="B30" s="98" t="s">
        <v>302</v>
      </c>
      <c r="C30" s="23">
        <v>45875.0</v>
      </c>
      <c r="D30" s="21" t="s">
        <v>268</v>
      </c>
    </row>
    <row r="31" ht="22.5" customHeight="1">
      <c r="A31" s="90" t="s">
        <v>303</v>
      </c>
      <c r="B31" s="98" t="s">
        <v>304</v>
      </c>
      <c r="C31" s="23">
        <v>45875.0</v>
      </c>
      <c r="D31" s="21" t="s">
        <v>268</v>
      </c>
    </row>
    <row r="32" ht="22.5" customHeight="1">
      <c r="A32" s="8" t="s">
        <v>305</v>
      </c>
      <c r="B32" s="98" t="s">
        <v>306</v>
      </c>
      <c r="C32" s="23">
        <v>45875.0</v>
      </c>
      <c r="D32" s="19"/>
    </row>
    <row r="33" ht="22.5" customHeight="1">
      <c r="A33" s="8" t="s">
        <v>307</v>
      </c>
      <c r="B33" s="98" t="s">
        <v>308</v>
      </c>
      <c r="C33" s="23">
        <v>45875.0</v>
      </c>
      <c r="D33" s="19"/>
    </row>
    <row r="34" ht="22.5" customHeight="1">
      <c r="A34" s="8" t="s">
        <v>309</v>
      </c>
      <c r="B34" s="98" t="s">
        <v>310</v>
      </c>
      <c r="C34" s="23">
        <v>45875.0</v>
      </c>
      <c r="D34" s="19"/>
    </row>
    <row r="35" ht="22.5" customHeight="1">
      <c r="A35" s="8" t="s">
        <v>311</v>
      </c>
      <c r="B35" s="98" t="s">
        <v>312</v>
      </c>
      <c r="C35" s="23">
        <v>45875.0</v>
      </c>
      <c r="D35" s="19"/>
    </row>
    <row r="36" ht="22.5" customHeight="1">
      <c r="A36" s="8" t="s">
        <v>313</v>
      </c>
      <c r="B36" s="98" t="s">
        <v>314</v>
      </c>
      <c r="C36" s="23">
        <v>45876.0</v>
      </c>
      <c r="D36" s="19"/>
    </row>
    <row r="37" ht="22.5" customHeight="1">
      <c r="A37" s="8" t="s">
        <v>315</v>
      </c>
      <c r="B37" s="98" t="s">
        <v>316</v>
      </c>
      <c r="C37" s="23">
        <v>45876.0</v>
      </c>
      <c r="D37" s="19"/>
    </row>
    <row r="38" ht="22.5" customHeight="1">
      <c r="A38" s="8" t="s">
        <v>317</v>
      </c>
      <c r="B38" s="98" t="s">
        <v>318</v>
      </c>
      <c r="C38" s="23">
        <v>45877.0</v>
      </c>
      <c r="D38" s="19"/>
    </row>
    <row r="39" ht="22.5" customHeight="1">
      <c r="A39" s="8" t="s">
        <v>319</v>
      </c>
      <c r="B39" s="98" t="s">
        <v>320</v>
      </c>
      <c r="C39" s="23">
        <v>45881.0</v>
      </c>
      <c r="D39" s="19"/>
    </row>
    <row r="40" ht="22.5" customHeight="1">
      <c r="A40" s="8" t="s">
        <v>321</v>
      </c>
      <c r="B40" s="98" t="s">
        <v>320</v>
      </c>
      <c r="C40" s="23">
        <v>45881.0</v>
      </c>
      <c r="D40" s="19"/>
    </row>
    <row r="41" ht="22.5" customHeight="1">
      <c r="A41" s="8" t="s">
        <v>322</v>
      </c>
      <c r="B41" s="98" t="s">
        <v>320</v>
      </c>
      <c r="C41" s="23">
        <v>45881.0</v>
      </c>
      <c r="D41" s="19"/>
    </row>
    <row r="42" ht="22.5" customHeight="1">
      <c r="A42" s="8" t="s">
        <v>323</v>
      </c>
      <c r="B42" s="98" t="s">
        <v>320</v>
      </c>
      <c r="C42" s="23">
        <v>45881.0</v>
      </c>
      <c r="D42" s="19"/>
    </row>
    <row r="43" ht="22.5" customHeight="1">
      <c r="A43" s="8" t="s">
        <v>324</v>
      </c>
      <c r="B43" s="98" t="s">
        <v>320</v>
      </c>
      <c r="C43" s="23">
        <v>45881.0</v>
      </c>
      <c r="D43" s="19"/>
    </row>
    <row r="44" ht="22.5" customHeight="1">
      <c r="A44" s="8" t="s">
        <v>325</v>
      </c>
      <c r="B44" s="98" t="s">
        <v>320</v>
      </c>
      <c r="C44" s="23">
        <v>45881.0</v>
      </c>
      <c r="D44" s="19"/>
    </row>
    <row r="45" ht="22.5" customHeight="1">
      <c r="A45" s="8" t="s">
        <v>326</v>
      </c>
      <c r="B45" s="98" t="s">
        <v>320</v>
      </c>
      <c r="C45" s="23">
        <v>45881.0</v>
      </c>
      <c r="D45" s="19"/>
    </row>
    <row r="46" ht="22.5" customHeight="1">
      <c r="A46" s="8" t="s">
        <v>327</v>
      </c>
      <c r="B46" s="98" t="s">
        <v>320</v>
      </c>
      <c r="C46" s="23">
        <v>45881.0</v>
      </c>
      <c r="D46" s="19"/>
    </row>
    <row r="47" ht="22.5" customHeight="1">
      <c r="A47" s="8" t="s">
        <v>328</v>
      </c>
      <c r="B47" s="98" t="s">
        <v>320</v>
      </c>
      <c r="C47" s="23">
        <v>45881.0</v>
      </c>
      <c r="D47" s="19"/>
    </row>
    <row r="48" ht="22.5" customHeight="1">
      <c r="A48" s="8" t="s">
        <v>329</v>
      </c>
      <c r="B48" s="98" t="s">
        <v>320</v>
      </c>
      <c r="C48" s="23">
        <v>45881.0</v>
      </c>
      <c r="D48" s="19"/>
    </row>
    <row r="49" ht="22.5" customHeight="1">
      <c r="A49" s="8" t="s">
        <v>330</v>
      </c>
      <c r="B49" s="98" t="s">
        <v>331</v>
      </c>
      <c r="C49" s="23">
        <v>45881.0</v>
      </c>
      <c r="D49" s="19"/>
    </row>
    <row r="50" ht="22.5" customHeight="1">
      <c r="A50" s="8" t="s">
        <v>332</v>
      </c>
      <c r="B50" s="98" t="s">
        <v>281</v>
      </c>
      <c r="C50" s="23">
        <v>45881.0</v>
      </c>
      <c r="D50" s="19"/>
    </row>
    <row r="51" ht="22.5" customHeight="1">
      <c r="A51" s="8" t="s">
        <v>333</v>
      </c>
      <c r="B51" s="98" t="s">
        <v>334</v>
      </c>
      <c r="C51" s="23">
        <v>45881.0</v>
      </c>
      <c r="D51" s="19"/>
    </row>
    <row r="52" ht="22.5" customHeight="1">
      <c r="A52" s="8" t="s">
        <v>335</v>
      </c>
      <c r="B52" s="98" t="s">
        <v>336</v>
      </c>
      <c r="C52" s="23">
        <v>45882.0</v>
      </c>
      <c r="D52" s="19"/>
    </row>
    <row r="53" ht="22.5" customHeight="1">
      <c r="A53" s="8" t="s">
        <v>337</v>
      </c>
      <c r="B53" s="98" t="s">
        <v>270</v>
      </c>
      <c r="C53" s="23">
        <v>45882.0</v>
      </c>
      <c r="D53" s="21" t="s">
        <v>259</v>
      </c>
    </row>
    <row r="54" ht="22.5" customHeight="1">
      <c r="A54" s="8" t="s">
        <v>338</v>
      </c>
      <c r="B54" s="98" t="s">
        <v>270</v>
      </c>
      <c r="C54" s="23">
        <v>45882.0</v>
      </c>
      <c r="D54" s="19"/>
    </row>
    <row r="55" ht="22.5" customHeight="1">
      <c r="A55" s="8" t="s">
        <v>339</v>
      </c>
      <c r="B55" s="98" t="s">
        <v>298</v>
      </c>
      <c r="C55" s="23">
        <v>45882.0</v>
      </c>
      <c r="D55" s="19"/>
    </row>
    <row r="56" ht="22.5" customHeight="1">
      <c r="A56" s="8" t="s">
        <v>340</v>
      </c>
      <c r="B56" s="98" t="s">
        <v>341</v>
      </c>
      <c r="C56" s="23">
        <v>45883.0</v>
      </c>
      <c r="D56" s="19"/>
    </row>
    <row r="57" ht="22.5" customHeight="1">
      <c r="A57" s="8" t="s">
        <v>342</v>
      </c>
      <c r="B57" s="98" t="s">
        <v>341</v>
      </c>
      <c r="C57" s="23">
        <v>45883.0</v>
      </c>
      <c r="D57" s="19"/>
    </row>
    <row r="58" ht="22.5" customHeight="1">
      <c r="A58" s="8" t="s">
        <v>343</v>
      </c>
      <c r="B58" s="98" t="s">
        <v>341</v>
      </c>
      <c r="C58" s="23">
        <v>45883.0</v>
      </c>
      <c r="D58" s="19"/>
    </row>
    <row r="59" ht="22.5" customHeight="1">
      <c r="A59" s="8" t="s">
        <v>344</v>
      </c>
      <c r="B59" s="98" t="s">
        <v>345</v>
      </c>
      <c r="C59" s="23">
        <v>45883.0</v>
      </c>
      <c r="D59" s="19"/>
    </row>
    <row r="60" ht="22.5" customHeight="1">
      <c r="A60" s="8" t="s">
        <v>346</v>
      </c>
      <c r="B60" s="98" t="s">
        <v>347</v>
      </c>
      <c r="C60" s="23">
        <v>45883.0</v>
      </c>
      <c r="D60" s="19"/>
    </row>
    <row r="61" ht="22.5" customHeight="1">
      <c r="A61" s="8" t="s">
        <v>348</v>
      </c>
      <c r="B61" s="98" t="s">
        <v>349</v>
      </c>
      <c r="C61" s="23">
        <v>45883.0</v>
      </c>
      <c r="D61" s="19"/>
    </row>
    <row r="62" ht="22.5" customHeight="1">
      <c r="A62" s="8" t="s">
        <v>350</v>
      </c>
      <c r="B62" s="98" t="s">
        <v>351</v>
      </c>
      <c r="C62" s="23">
        <v>45883.0</v>
      </c>
      <c r="D62" s="19"/>
    </row>
    <row r="63" ht="22.5" customHeight="1">
      <c r="A63" s="8" t="s">
        <v>352</v>
      </c>
      <c r="B63" s="98" t="s">
        <v>289</v>
      </c>
      <c r="C63" s="23">
        <v>45883.0</v>
      </c>
      <c r="D63" s="19"/>
    </row>
    <row r="64" ht="22.5" customHeight="1">
      <c r="A64" s="8" t="s">
        <v>353</v>
      </c>
      <c r="B64" s="98" t="s">
        <v>354</v>
      </c>
      <c r="C64" s="23">
        <v>45883.0</v>
      </c>
      <c r="D64" s="19"/>
    </row>
    <row r="65" ht="22.5" customHeight="1">
      <c r="A65" s="8" t="s">
        <v>355</v>
      </c>
      <c r="B65" s="98" t="s">
        <v>356</v>
      </c>
      <c r="C65" s="23">
        <v>45883.0</v>
      </c>
      <c r="D65" s="19"/>
    </row>
    <row r="66" ht="22.5" customHeight="1">
      <c r="A66" s="90" t="s">
        <v>357</v>
      </c>
      <c r="B66" s="98" t="s">
        <v>351</v>
      </c>
      <c r="C66" s="23">
        <v>45883.0</v>
      </c>
      <c r="D66" s="19"/>
    </row>
    <row r="67" ht="22.5" customHeight="1">
      <c r="A67" s="8" t="s">
        <v>358</v>
      </c>
      <c r="B67" s="98" t="s">
        <v>359</v>
      </c>
      <c r="C67" s="23">
        <v>45889.0</v>
      </c>
      <c r="D67" s="19"/>
    </row>
    <row r="68" ht="22.5" customHeight="1">
      <c r="A68" s="90" t="s">
        <v>360</v>
      </c>
      <c r="B68" s="98" t="s">
        <v>320</v>
      </c>
      <c r="C68" s="23">
        <v>45890.0</v>
      </c>
      <c r="D68" s="19"/>
    </row>
    <row r="69" ht="22.5" customHeight="1">
      <c r="A69" s="90" t="s">
        <v>361</v>
      </c>
      <c r="B69" s="98" t="s">
        <v>320</v>
      </c>
      <c r="C69" s="23">
        <v>45890.0</v>
      </c>
      <c r="D69" s="19"/>
    </row>
    <row r="70" ht="22.5" customHeight="1">
      <c r="A70" s="90" t="s">
        <v>362</v>
      </c>
      <c r="B70" s="98" t="s">
        <v>320</v>
      </c>
      <c r="C70" s="23">
        <v>45890.0</v>
      </c>
      <c r="D70" s="19"/>
    </row>
    <row r="71" ht="22.5" customHeight="1">
      <c r="A71" s="8" t="s">
        <v>363</v>
      </c>
      <c r="B71" s="98" t="s">
        <v>364</v>
      </c>
      <c r="C71" s="23">
        <v>45891.0</v>
      </c>
      <c r="D71" s="19"/>
    </row>
    <row r="72" ht="22.5" customHeight="1">
      <c r="A72" s="90" t="s">
        <v>365</v>
      </c>
      <c r="B72" s="98" t="s">
        <v>320</v>
      </c>
      <c r="C72" s="23">
        <v>45891.0</v>
      </c>
      <c r="D72" s="19"/>
    </row>
    <row r="73" ht="22.5" customHeight="1">
      <c r="A73" s="90" t="s">
        <v>366</v>
      </c>
      <c r="B73" s="98" t="s">
        <v>320</v>
      </c>
      <c r="C73" s="23">
        <v>45891.0</v>
      </c>
      <c r="D73" s="19"/>
    </row>
    <row r="74" ht="22.5" customHeight="1">
      <c r="A74" s="90" t="s">
        <v>367</v>
      </c>
      <c r="B74" s="98" t="s">
        <v>320</v>
      </c>
      <c r="C74" s="23">
        <v>45891.0</v>
      </c>
      <c r="D74" s="19"/>
    </row>
    <row r="75" ht="22.5" customHeight="1">
      <c r="A75" s="90" t="s">
        <v>368</v>
      </c>
      <c r="B75" s="98" t="s">
        <v>320</v>
      </c>
      <c r="C75" s="23">
        <v>45891.0</v>
      </c>
      <c r="D75" s="19"/>
    </row>
    <row r="76" ht="22.5" customHeight="1">
      <c r="A76" s="90" t="s">
        <v>369</v>
      </c>
      <c r="B76" s="98" t="s">
        <v>320</v>
      </c>
      <c r="C76" s="23">
        <v>45891.0</v>
      </c>
      <c r="D76" s="19"/>
    </row>
    <row r="77" ht="22.5" customHeight="1">
      <c r="A77" s="90" t="s">
        <v>370</v>
      </c>
      <c r="B77" s="98" t="s">
        <v>320</v>
      </c>
      <c r="C77" s="23">
        <v>45891.0</v>
      </c>
      <c r="D77" s="19"/>
    </row>
    <row r="78" ht="22.5" customHeight="1">
      <c r="A78" s="90" t="s">
        <v>371</v>
      </c>
      <c r="B78" s="98" t="s">
        <v>320</v>
      </c>
      <c r="C78" s="23">
        <v>45891.0</v>
      </c>
      <c r="D78" s="19"/>
    </row>
    <row r="79" ht="22.5" customHeight="1">
      <c r="A79" s="90" t="s">
        <v>372</v>
      </c>
      <c r="B79" s="98" t="s">
        <v>320</v>
      </c>
      <c r="C79" s="23">
        <v>45891.0</v>
      </c>
      <c r="D79" s="19"/>
    </row>
    <row r="80" ht="22.5" customHeight="1">
      <c r="A80" s="90" t="s">
        <v>373</v>
      </c>
      <c r="B80" s="98" t="s">
        <v>320</v>
      </c>
      <c r="C80" s="23">
        <v>45891.0</v>
      </c>
      <c r="D80" s="19"/>
    </row>
    <row r="81" ht="22.5" customHeight="1">
      <c r="A81" s="90" t="s">
        <v>374</v>
      </c>
      <c r="B81" s="98" t="s">
        <v>320</v>
      </c>
      <c r="C81" s="23">
        <v>45891.0</v>
      </c>
      <c r="D81" s="19"/>
    </row>
    <row r="82" ht="22.5" customHeight="1">
      <c r="A82" s="90" t="s">
        <v>375</v>
      </c>
      <c r="B82" s="98" t="s">
        <v>320</v>
      </c>
      <c r="C82" s="23">
        <v>45891.0</v>
      </c>
      <c r="D82" s="19"/>
    </row>
    <row r="83" ht="22.5" customHeight="1">
      <c r="A83" s="90" t="s">
        <v>376</v>
      </c>
      <c r="B83" s="98" t="s">
        <v>320</v>
      </c>
      <c r="C83" s="23">
        <v>45891.0</v>
      </c>
      <c r="D83" s="19"/>
    </row>
    <row r="84" ht="22.5" customHeight="1">
      <c r="A84" s="90" t="s">
        <v>377</v>
      </c>
      <c r="B84" s="98" t="s">
        <v>320</v>
      </c>
      <c r="C84" s="23">
        <v>45891.0</v>
      </c>
      <c r="D84" s="19"/>
    </row>
    <row r="85" ht="22.5" customHeight="1">
      <c r="A85" s="90" t="s">
        <v>378</v>
      </c>
      <c r="B85" s="98" t="s">
        <v>320</v>
      </c>
      <c r="C85" s="23">
        <v>45891.0</v>
      </c>
      <c r="D85" s="19"/>
    </row>
    <row r="86" ht="22.5" customHeight="1">
      <c r="A86" s="90" t="s">
        <v>379</v>
      </c>
      <c r="B86" s="98" t="s">
        <v>320</v>
      </c>
      <c r="C86" s="23">
        <v>45891.0</v>
      </c>
      <c r="D86" s="19"/>
    </row>
    <row r="87" ht="22.5" customHeight="1">
      <c r="A87" s="90" t="s">
        <v>380</v>
      </c>
      <c r="B87" s="98" t="s">
        <v>320</v>
      </c>
      <c r="C87" s="23">
        <v>45891.0</v>
      </c>
      <c r="D87" s="19"/>
    </row>
    <row r="88" ht="22.5" customHeight="1">
      <c r="A88" s="90" t="s">
        <v>381</v>
      </c>
      <c r="B88" s="98" t="s">
        <v>320</v>
      </c>
      <c r="C88" s="23">
        <v>45891.0</v>
      </c>
      <c r="D88" s="19"/>
    </row>
    <row r="89" ht="22.5" customHeight="1">
      <c r="A89" s="90" t="s">
        <v>382</v>
      </c>
      <c r="B89" s="98" t="s">
        <v>320</v>
      </c>
      <c r="C89" s="23">
        <v>45891.0</v>
      </c>
      <c r="D89" s="19"/>
    </row>
    <row r="90" ht="22.5" customHeight="1">
      <c r="A90" s="90" t="s">
        <v>383</v>
      </c>
      <c r="B90" s="98" t="s">
        <v>320</v>
      </c>
      <c r="C90" s="23">
        <v>45891.0</v>
      </c>
      <c r="D90" s="19"/>
    </row>
    <row r="91" ht="22.5" customHeight="1">
      <c r="A91" s="90" t="s">
        <v>384</v>
      </c>
      <c r="B91" s="98" t="s">
        <v>320</v>
      </c>
      <c r="C91" s="23">
        <v>45891.0</v>
      </c>
      <c r="D91" s="19"/>
    </row>
    <row r="92" ht="22.5" customHeight="1">
      <c r="A92" s="90" t="s">
        <v>385</v>
      </c>
      <c r="B92" s="98" t="s">
        <v>320</v>
      </c>
      <c r="C92" s="23">
        <v>45891.0</v>
      </c>
      <c r="D92" s="19"/>
    </row>
    <row r="93" ht="22.5" customHeight="1">
      <c r="A93" s="8" t="s">
        <v>386</v>
      </c>
      <c r="B93" s="98" t="s">
        <v>320</v>
      </c>
      <c r="C93" s="23">
        <v>45891.0</v>
      </c>
      <c r="D93" s="19"/>
    </row>
    <row r="94" ht="22.5" customHeight="1">
      <c r="A94" s="90" t="s">
        <v>387</v>
      </c>
      <c r="B94" s="98" t="s">
        <v>320</v>
      </c>
      <c r="C94" s="23">
        <v>45891.0</v>
      </c>
      <c r="D94" s="19"/>
    </row>
    <row r="95" ht="22.5" customHeight="1">
      <c r="A95" s="90" t="s">
        <v>388</v>
      </c>
      <c r="B95" s="98" t="s">
        <v>320</v>
      </c>
      <c r="C95" s="23">
        <v>45891.0</v>
      </c>
      <c r="D95" s="19"/>
    </row>
    <row r="96" ht="22.5" customHeight="1">
      <c r="A96" s="90" t="s">
        <v>389</v>
      </c>
      <c r="B96" s="98" t="s">
        <v>320</v>
      </c>
      <c r="C96" s="23">
        <v>45891.0</v>
      </c>
      <c r="D96" s="19"/>
    </row>
    <row r="97" ht="22.5" customHeight="1">
      <c r="A97" s="90" t="s">
        <v>390</v>
      </c>
      <c r="B97" s="98" t="s">
        <v>320</v>
      </c>
      <c r="C97" s="23">
        <v>45891.0</v>
      </c>
      <c r="D97" s="19"/>
    </row>
    <row r="98" ht="22.5" customHeight="1">
      <c r="A98" s="90" t="s">
        <v>391</v>
      </c>
      <c r="B98" s="98" t="s">
        <v>320</v>
      </c>
      <c r="C98" s="23">
        <v>45891.0</v>
      </c>
      <c r="D98" s="19"/>
    </row>
    <row r="99" ht="22.5" customHeight="1">
      <c r="A99" s="90" t="s">
        <v>392</v>
      </c>
      <c r="B99" s="98" t="s">
        <v>320</v>
      </c>
      <c r="C99" s="23">
        <v>45891.0</v>
      </c>
      <c r="D99" s="19"/>
    </row>
    <row r="100" ht="22.5" customHeight="1">
      <c r="A100" s="90" t="s">
        <v>393</v>
      </c>
      <c r="B100" s="98" t="s">
        <v>320</v>
      </c>
      <c r="C100" s="23">
        <v>45891.0</v>
      </c>
      <c r="D100" s="19"/>
    </row>
    <row r="101" ht="22.5" customHeight="1">
      <c r="A101" s="90" t="s">
        <v>394</v>
      </c>
      <c r="B101" s="98" t="s">
        <v>320</v>
      </c>
      <c r="C101" s="23">
        <v>45891.0</v>
      </c>
      <c r="D101" s="19"/>
    </row>
    <row r="102" ht="22.5" customHeight="1">
      <c r="A102" s="90" t="s">
        <v>395</v>
      </c>
      <c r="B102" s="98" t="s">
        <v>320</v>
      </c>
      <c r="C102" s="23">
        <v>45891.0</v>
      </c>
      <c r="D102" s="19"/>
    </row>
    <row r="103" ht="22.5" customHeight="1">
      <c r="A103" s="90" t="s">
        <v>396</v>
      </c>
      <c r="B103" s="98" t="s">
        <v>320</v>
      </c>
      <c r="C103" s="23">
        <v>45891.0</v>
      </c>
      <c r="D103" s="19"/>
    </row>
    <row r="104" ht="22.5" customHeight="1">
      <c r="A104" s="90" t="s">
        <v>397</v>
      </c>
      <c r="B104" s="98" t="s">
        <v>320</v>
      </c>
      <c r="C104" s="23">
        <v>45891.0</v>
      </c>
      <c r="D104" s="19"/>
    </row>
    <row r="105" ht="22.5" customHeight="1">
      <c r="A105" s="90" t="s">
        <v>398</v>
      </c>
      <c r="B105" s="98" t="s">
        <v>320</v>
      </c>
      <c r="C105" s="23">
        <v>45891.0</v>
      </c>
      <c r="D105" s="19"/>
    </row>
    <row r="106" ht="22.5" customHeight="1">
      <c r="A106" s="90" t="s">
        <v>399</v>
      </c>
      <c r="B106" s="98" t="s">
        <v>320</v>
      </c>
      <c r="C106" s="23">
        <v>45891.0</v>
      </c>
      <c r="D106" s="19"/>
    </row>
    <row r="107" ht="22.5" customHeight="1">
      <c r="A107" s="90" t="s">
        <v>400</v>
      </c>
      <c r="B107" s="98" t="s">
        <v>320</v>
      </c>
      <c r="C107" s="23">
        <v>45891.0</v>
      </c>
      <c r="D107" s="19"/>
    </row>
    <row r="108" ht="22.5" customHeight="1">
      <c r="A108" s="90" t="s">
        <v>401</v>
      </c>
      <c r="B108" s="98" t="s">
        <v>320</v>
      </c>
      <c r="C108" s="23">
        <v>45891.0</v>
      </c>
      <c r="D108" s="19"/>
    </row>
    <row r="109" ht="22.5" customHeight="1">
      <c r="A109" s="8" t="s">
        <v>402</v>
      </c>
      <c r="B109" s="98" t="s">
        <v>320</v>
      </c>
      <c r="C109" s="23">
        <v>45891.0</v>
      </c>
      <c r="D109" s="19"/>
    </row>
    <row r="110" ht="22.5" customHeight="1">
      <c r="A110" s="90" t="s">
        <v>403</v>
      </c>
      <c r="B110" s="98" t="s">
        <v>320</v>
      </c>
      <c r="C110" s="23">
        <v>45891.0</v>
      </c>
      <c r="D110" s="19"/>
    </row>
    <row r="111" ht="22.5" customHeight="1">
      <c r="A111" s="90" t="s">
        <v>404</v>
      </c>
      <c r="B111" s="98" t="s">
        <v>320</v>
      </c>
      <c r="C111" s="23">
        <v>45891.0</v>
      </c>
      <c r="D111" s="19"/>
    </row>
    <row r="112" ht="22.5" customHeight="1">
      <c r="A112" s="90" t="s">
        <v>405</v>
      </c>
      <c r="B112" s="98" t="s">
        <v>320</v>
      </c>
      <c r="C112" s="23">
        <v>45891.0</v>
      </c>
      <c r="D112" s="19"/>
    </row>
    <row r="113" ht="22.5" customHeight="1">
      <c r="A113" s="90" t="s">
        <v>406</v>
      </c>
      <c r="B113" s="98" t="s">
        <v>320</v>
      </c>
      <c r="C113" s="23">
        <v>45891.0</v>
      </c>
      <c r="D113" s="19"/>
    </row>
    <row r="114" ht="22.5" customHeight="1">
      <c r="A114" s="90" t="s">
        <v>407</v>
      </c>
      <c r="B114" s="98" t="s">
        <v>320</v>
      </c>
      <c r="C114" s="23">
        <v>45891.0</v>
      </c>
      <c r="D114" s="19"/>
    </row>
    <row r="115" ht="22.5" customHeight="1">
      <c r="A115" s="90" t="s">
        <v>408</v>
      </c>
      <c r="B115" s="98" t="s">
        <v>320</v>
      </c>
      <c r="C115" s="23">
        <v>45891.0</v>
      </c>
      <c r="D115" s="19"/>
    </row>
    <row r="116" ht="22.5" customHeight="1">
      <c r="A116" s="90" t="s">
        <v>409</v>
      </c>
      <c r="B116" s="98" t="s">
        <v>320</v>
      </c>
      <c r="C116" s="23">
        <v>45891.0</v>
      </c>
      <c r="D116" s="19"/>
    </row>
    <row r="117" ht="22.5" customHeight="1">
      <c r="A117" s="90" t="s">
        <v>410</v>
      </c>
      <c r="B117" s="98" t="s">
        <v>320</v>
      </c>
      <c r="C117" s="23">
        <v>45891.0</v>
      </c>
      <c r="D117" s="19"/>
    </row>
    <row r="118" ht="22.5" customHeight="1">
      <c r="A118" s="90" t="s">
        <v>411</v>
      </c>
      <c r="B118" s="98" t="s">
        <v>320</v>
      </c>
      <c r="C118" s="23">
        <v>45891.0</v>
      </c>
      <c r="D118" s="19"/>
    </row>
    <row r="119" ht="22.5" customHeight="1">
      <c r="A119" s="90" t="s">
        <v>412</v>
      </c>
      <c r="B119" s="98" t="s">
        <v>320</v>
      </c>
      <c r="C119" s="23">
        <v>45891.0</v>
      </c>
      <c r="D119" s="19"/>
    </row>
    <row r="120" ht="22.5" customHeight="1">
      <c r="A120" s="90" t="s">
        <v>413</v>
      </c>
      <c r="B120" s="98" t="s">
        <v>320</v>
      </c>
      <c r="C120" s="23">
        <v>45891.0</v>
      </c>
      <c r="D120" s="19"/>
    </row>
    <row r="121" ht="22.5" customHeight="1">
      <c r="A121" s="90" t="s">
        <v>414</v>
      </c>
      <c r="B121" s="98" t="s">
        <v>320</v>
      </c>
      <c r="C121" s="23">
        <v>45891.0</v>
      </c>
      <c r="D121" s="19"/>
    </row>
    <row r="122" ht="22.5" customHeight="1">
      <c r="A122" s="90" t="s">
        <v>415</v>
      </c>
      <c r="B122" s="98" t="s">
        <v>320</v>
      </c>
      <c r="C122" s="23">
        <v>45891.0</v>
      </c>
      <c r="D122" s="19"/>
    </row>
    <row r="123" ht="22.5" customHeight="1">
      <c r="A123" s="90" t="s">
        <v>416</v>
      </c>
      <c r="B123" s="98" t="s">
        <v>417</v>
      </c>
      <c r="C123" s="23">
        <v>45891.0</v>
      </c>
      <c r="D123" s="19"/>
    </row>
    <row r="124" ht="22.5" customHeight="1">
      <c r="A124" s="8" t="s">
        <v>418</v>
      </c>
      <c r="B124" s="98" t="s">
        <v>419</v>
      </c>
      <c r="C124" s="23">
        <v>45896.0</v>
      </c>
      <c r="D124" s="19"/>
    </row>
    <row r="125" ht="22.5" customHeight="1">
      <c r="A125" s="8" t="s">
        <v>420</v>
      </c>
      <c r="B125" s="98" t="s">
        <v>421</v>
      </c>
      <c r="C125" s="23">
        <v>45896.0</v>
      </c>
      <c r="D125" s="19"/>
    </row>
    <row r="126" ht="22.5" customHeight="1">
      <c r="A126" s="90" t="s">
        <v>422</v>
      </c>
      <c r="B126" s="98" t="s">
        <v>334</v>
      </c>
      <c r="C126" s="23">
        <v>45896.0</v>
      </c>
      <c r="D126" s="21" t="s">
        <v>268</v>
      </c>
    </row>
    <row r="127" ht="22.5" customHeight="1">
      <c r="A127" s="8" t="s">
        <v>423</v>
      </c>
      <c r="B127" s="98" t="s">
        <v>424</v>
      </c>
      <c r="C127" s="23">
        <v>45897.0</v>
      </c>
      <c r="D127" s="21"/>
    </row>
    <row r="128" ht="22.5" customHeight="1">
      <c r="A128" s="8" t="s">
        <v>425</v>
      </c>
      <c r="B128" s="98" t="s">
        <v>426</v>
      </c>
      <c r="C128" s="23">
        <v>45902.0</v>
      </c>
      <c r="D128" s="21"/>
    </row>
    <row r="129" ht="22.5" customHeight="1">
      <c r="A129" s="8" t="s">
        <v>427</v>
      </c>
      <c r="B129" s="98" t="s">
        <v>364</v>
      </c>
      <c r="C129" s="23">
        <v>45903.0</v>
      </c>
      <c r="D129" s="21"/>
    </row>
    <row r="130" ht="22.5" customHeight="1">
      <c r="A130" s="8" t="s">
        <v>428</v>
      </c>
      <c r="B130" s="98" t="s">
        <v>429</v>
      </c>
      <c r="C130" s="23">
        <v>45903.0</v>
      </c>
      <c r="D130" s="21"/>
    </row>
    <row r="131" ht="22.5" customHeight="1">
      <c r="A131" s="8" t="s">
        <v>430</v>
      </c>
      <c r="B131" s="98" t="s">
        <v>431</v>
      </c>
      <c r="C131" s="23">
        <v>45903.0</v>
      </c>
      <c r="D131" s="21"/>
    </row>
    <row r="132" ht="22.5" customHeight="1">
      <c r="A132" s="8" t="s">
        <v>432</v>
      </c>
      <c r="B132" s="98" t="s">
        <v>433</v>
      </c>
      <c r="C132" s="23">
        <v>45903.0</v>
      </c>
      <c r="D132" s="21"/>
    </row>
    <row r="133" ht="22.5" customHeight="1">
      <c r="A133" s="8" t="s">
        <v>434</v>
      </c>
      <c r="B133" s="98" t="s">
        <v>435</v>
      </c>
      <c r="C133" s="23">
        <v>45903.0</v>
      </c>
      <c r="D133" s="21"/>
    </row>
    <row r="134" ht="22.5" customHeight="1">
      <c r="A134" s="86" t="s">
        <v>436</v>
      </c>
      <c r="B134" s="98" t="s">
        <v>437</v>
      </c>
      <c r="C134" s="23">
        <v>45905.0</v>
      </c>
      <c r="D134" s="21"/>
    </row>
    <row r="135" ht="22.5" customHeight="1">
      <c r="A135" s="8" t="s">
        <v>438</v>
      </c>
      <c r="B135" s="98" t="s">
        <v>439</v>
      </c>
      <c r="C135" s="23">
        <v>45905.0</v>
      </c>
      <c r="D135" s="21"/>
    </row>
    <row r="136" ht="22.5" customHeight="1">
      <c r="A136" s="8" t="s">
        <v>440</v>
      </c>
      <c r="B136" s="98" t="s">
        <v>439</v>
      </c>
      <c r="C136" s="23">
        <v>45905.0</v>
      </c>
      <c r="D136" s="21"/>
    </row>
    <row r="137" ht="22.5" customHeight="1">
      <c r="A137" s="8" t="s">
        <v>441</v>
      </c>
      <c r="B137" s="98" t="s">
        <v>442</v>
      </c>
      <c r="C137" s="23">
        <v>45905.0</v>
      </c>
      <c r="D137" s="21"/>
    </row>
    <row r="138" ht="22.5" customHeight="1">
      <c r="A138" s="8" t="s">
        <v>443</v>
      </c>
      <c r="B138" s="98" t="s">
        <v>444</v>
      </c>
      <c r="C138" s="23">
        <v>45905.0</v>
      </c>
      <c r="D138" s="21"/>
    </row>
    <row r="139" ht="22.5" customHeight="1">
      <c r="A139" s="8" t="s">
        <v>445</v>
      </c>
      <c r="B139" s="98" t="s">
        <v>429</v>
      </c>
      <c r="C139" s="23">
        <v>45908.0</v>
      </c>
      <c r="D139" s="21"/>
    </row>
    <row r="140" ht="22.5" customHeight="1">
      <c r="A140" s="8" t="s">
        <v>446</v>
      </c>
      <c r="B140" s="98" t="s">
        <v>447</v>
      </c>
      <c r="C140" s="23">
        <v>45908.0</v>
      </c>
      <c r="D140" s="21"/>
    </row>
    <row r="141" ht="22.5" customHeight="1">
      <c r="A141" s="90" t="s">
        <v>448</v>
      </c>
      <c r="B141" s="98" t="s">
        <v>449</v>
      </c>
      <c r="C141" s="23">
        <v>45908.0</v>
      </c>
      <c r="D141" s="21" t="s">
        <v>259</v>
      </c>
    </row>
    <row r="142" ht="22.5" customHeight="1">
      <c r="A142" s="8" t="s">
        <v>450</v>
      </c>
      <c r="B142" s="98" t="s">
        <v>451</v>
      </c>
      <c r="C142" s="23">
        <v>45909.0</v>
      </c>
      <c r="D142" s="21"/>
    </row>
    <row r="143" ht="22.5" customHeight="1">
      <c r="A143" s="8" t="s">
        <v>452</v>
      </c>
      <c r="B143" s="98" t="s">
        <v>453</v>
      </c>
      <c r="C143" s="23">
        <v>45909.0</v>
      </c>
      <c r="D143" s="21"/>
    </row>
    <row r="144" ht="22.5" customHeight="1">
      <c r="A144" s="90" t="s">
        <v>454</v>
      </c>
      <c r="B144" s="98" t="s">
        <v>455</v>
      </c>
      <c r="C144" s="23">
        <v>45916.0</v>
      </c>
      <c r="D144" s="21"/>
    </row>
    <row r="145" ht="22.5" customHeight="1">
      <c r="A145" s="90" t="s">
        <v>456</v>
      </c>
      <c r="B145" s="98" t="s">
        <v>457</v>
      </c>
      <c r="C145" s="23">
        <v>45923.0</v>
      </c>
      <c r="D145" s="21"/>
    </row>
    <row r="146" ht="22.5" customHeight="1">
      <c r="A146" s="8" t="s">
        <v>458</v>
      </c>
      <c r="B146" s="98" t="s">
        <v>459</v>
      </c>
      <c r="C146" s="23">
        <v>45924.0</v>
      </c>
      <c r="D146" s="21"/>
    </row>
    <row r="147" ht="22.5" customHeight="1">
      <c r="A147" s="8" t="s">
        <v>460</v>
      </c>
      <c r="B147" s="98" t="s">
        <v>461</v>
      </c>
      <c r="C147" s="23">
        <v>45924.0</v>
      </c>
      <c r="D147" s="21"/>
    </row>
    <row r="148" ht="22.5" customHeight="1">
      <c r="A148" s="8" t="s">
        <v>462</v>
      </c>
      <c r="B148" s="98" t="s">
        <v>463</v>
      </c>
      <c r="C148" s="23">
        <v>45924.0</v>
      </c>
      <c r="D148" s="21"/>
    </row>
    <row r="149" ht="22.5" customHeight="1">
      <c r="A149" s="8" t="s">
        <v>464</v>
      </c>
      <c r="B149" s="98" t="s">
        <v>465</v>
      </c>
      <c r="C149" s="23">
        <v>45924.0</v>
      </c>
      <c r="D149" s="21"/>
    </row>
    <row r="150" ht="22.5" customHeight="1">
      <c r="A150" s="8" t="s">
        <v>466</v>
      </c>
      <c r="B150" s="98" t="s">
        <v>467</v>
      </c>
      <c r="C150" s="23">
        <v>45924.0</v>
      </c>
      <c r="D150" s="21"/>
    </row>
    <row r="151" ht="22.5" customHeight="1">
      <c r="A151" s="8" t="s">
        <v>468</v>
      </c>
      <c r="B151" s="98" t="s">
        <v>469</v>
      </c>
      <c r="C151" s="23">
        <v>45925.0</v>
      </c>
      <c r="D151" s="21"/>
    </row>
    <row r="152" ht="22.5" customHeight="1">
      <c r="A152" s="8" t="s">
        <v>470</v>
      </c>
      <c r="B152" s="98" t="s">
        <v>471</v>
      </c>
      <c r="C152" s="23">
        <v>45930.0</v>
      </c>
      <c r="D152" s="21"/>
    </row>
    <row r="153" ht="22.5" customHeight="1">
      <c r="A153" s="8" t="s">
        <v>472</v>
      </c>
      <c r="B153" s="98" t="s">
        <v>473</v>
      </c>
      <c r="C153" s="23">
        <v>45931.0</v>
      </c>
      <c r="D153" s="21"/>
    </row>
    <row r="154" ht="22.5" customHeight="1">
      <c r="A154" s="8" t="s">
        <v>474</v>
      </c>
      <c r="B154" s="98" t="s">
        <v>475</v>
      </c>
      <c r="C154" s="23">
        <v>45931.0</v>
      </c>
      <c r="D154" s="21"/>
    </row>
    <row r="155" ht="22.5" customHeight="1">
      <c r="A155" s="8" t="s">
        <v>476</v>
      </c>
      <c r="B155" s="98" t="s">
        <v>463</v>
      </c>
      <c r="C155" s="23">
        <v>45931.0</v>
      </c>
      <c r="D155" s="21"/>
    </row>
    <row r="156" ht="22.5" customHeight="1">
      <c r="A156" s="8" t="s">
        <v>477</v>
      </c>
      <c r="B156" s="98" t="s">
        <v>478</v>
      </c>
      <c r="C156" s="23">
        <v>45931.0</v>
      </c>
      <c r="D156" s="21"/>
    </row>
    <row r="157" ht="22.5" customHeight="1">
      <c r="A157" s="8" t="s">
        <v>479</v>
      </c>
      <c r="B157" s="98" t="s">
        <v>469</v>
      </c>
      <c r="C157" s="23">
        <v>45931.0</v>
      </c>
      <c r="D157" s="21"/>
    </row>
    <row r="158" ht="22.5" customHeight="1">
      <c r="A158" s="8" t="s">
        <v>480</v>
      </c>
      <c r="B158" s="98" t="s">
        <v>481</v>
      </c>
      <c r="C158" s="23">
        <v>45932.0</v>
      </c>
      <c r="D158" s="21"/>
    </row>
    <row r="159" ht="22.5" customHeight="1">
      <c r="A159" s="8" t="s">
        <v>482</v>
      </c>
      <c r="B159" s="98" t="s">
        <v>469</v>
      </c>
      <c r="C159" s="23">
        <v>45932.0</v>
      </c>
      <c r="D159" s="21"/>
    </row>
    <row r="160" ht="22.5" customHeight="1">
      <c r="A160" s="8" t="s">
        <v>483</v>
      </c>
      <c r="B160" s="98" t="s">
        <v>484</v>
      </c>
      <c r="C160" s="23">
        <v>45932.0</v>
      </c>
      <c r="D160" s="21"/>
    </row>
    <row r="161" ht="22.5" customHeight="1">
      <c r="A161" s="8" t="s">
        <v>485</v>
      </c>
      <c r="B161" s="98"/>
      <c r="C161" s="23">
        <v>45932.0</v>
      </c>
      <c r="D161" s="21"/>
    </row>
    <row r="162" ht="22.5" customHeight="1">
      <c r="A162" s="8" t="s">
        <v>486</v>
      </c>
      <c r="B162" s="98" t="s">
        <v>487</v>
      </c>
      <c r="C162" s="23">
        <v>45933.0</v>
      </c>
      <c r="D162" s="21"/>
    </row>
    <row r="163" ht="22.5" customHeight="1">
      <c r="A163" s="8" t="s">
        <v>488</v>
      </c>
      <c r="B163" s="98" t="s">
        <v>469</v>
      </c>
      <c r="C163" s="23">
        <v>45936.0</v>
      </c>
      <c r="D163" s="21" t="s">
        <v>489</v>
      </c>
    </row>
    <row r="164" ht="22.5" customHeight="1">
      <c r="A164" s="8" t="s">
        <v>490</v>
      </c>
      <c r="B164" s="98" t="s">
        <v>491</v>
      </c>
      <c r="C164" s="23">
        <v>45937.0</v>
      </c>
      <c r="D164" s="21" t="s">
        <v>492</v>
      </c>
    </row>
    <row r="165" ht="22.5" customHeight="1">
      <c r="A165" s="87" t="s">
        <v>493</v>
      </c>
      <c r="B165" s="98" t="s">
        <v>494</v>
      </c>
      <c r="C165" s="23">
        <v>45938.0</v>
      </c>
      <c r="D165" s="21"/>
    </row>
    <row r="166" ht="22.5" customHeight="1">
      <c r="A166" s="8" t="s">
        <v>495</v>
      </c>
      <c r="B166" s="98" t="s">
        <v>496</v>
      </c>
      <c r="C166" s="23">
        <v>45938.0</v>
      </c>
      <c r="D166" s="21"/>
    </row>
    <row r="167" ht="22.5" customHeight="1">
      <c r="A167" s="8" t="s">
        <v>497</v>
      </c>
      <c r="B167" s="98" t="s">
        <v>498</v>
      </c>
      <c r="C167" s="23">
        <v>45938.0</v>
      </c>
      <c r="D167" s="21"/>
    </row>
    <row r="168" ht="22.5" customHeight="1">
      <c r="A168" s="8" t="s">
        <v>499</v>
      </c>
      <c r="B168" s="98" t="s">
        <v>500</v>
      </c>
      <c r="C168" s="23">
        <v>45938.0</v>
      </c>
      <c r="D168" s="21"/>
    </row>
    <row r="169" ht="22.5" customHeight="1">
      <c r="A169" s="8" t="s">
        <v>501</v>
      </c>
      <c r="B169" s="98" t="s">
        <v>500</v>
      </c>
      <c r="C169" s="23">
        <v>45938.0</v>
      </c>
      <c r="D169" s="21"/>
    </row>
    <row r="170" ht="22.5" customHeight="1">
      <c r="A170" s="8" t="s">
        <v>502</v>
      </c>
      <c r="B170" s="98" t="s">
        <v>503</v>
      </c>
      <c r="C170" s="23">
        <v>45938.0</v>
      </c>
      <c r="D170" s="21"/>
    </row>
    <row r="171" ht="22.5" customHeight="1">
      <c r="A171" s="8" t="s">
        <v>504</v>
      </c>
      <c r="B171" s="98" t="s">
        <v>505</v>
      </c>
      <c r="C171" s="23">
        <v>45939.0</v>
      </c>
      <c r="D171" s="21"/>
    </row>
    <row r="172" ht="22.5" customHeight="1">
      <c r="A172" s="87" t="s">
        <v>506</v>
      </c>
      <c r="B172" s="98" t="s">
        <v>507</v>
      </c>
      <c r="C172" s="23">
        <v>45952.0</v>
      </c>
      <c r="D172" s="21"/>
    </row>
    <row r="173" ht="22.5" customHeight="1">
      <c r="A173" s="8" t="s">
        <v>508</v>
      </c>
      <c r="B173" s="98" t="s">
        <v>509</v>
      </c>
      <c r="C173" s="23">
        <v>45952.0</v>
      </c>
      <c r="D173" s="21"/>
    </row>
    <row r="174" ht="22.5" customHeight="1">
      <c r="A174" s="8" t="s">
        <v>510</v>
      </c>
      <c r="B174" s="98" t="s">
        <v>511</v>
      </c>
      <c r="C174" s="23">
        <v>45952.0</v>
      </c>
      <c r="D174" s="21"/>
    </row>
    <row r="175" ht="22.5" customHeight="1">
      <c r="A175" s="8" t="s">
        <v>512</v>
      </c>
      <c r="B175" s="98" t="s">
        <v>513</v>
      </c>
      <c r="C175" s="23">
        <v>45952.0</v>
      </c>
      <c r="D175" s="21"/>
    </row>
    <row r="176" ht="22.5" customHeight="1">
      <c r="A176" s="8" t="s">
        <v>514</v>
      </c>
      <c r="B176" s="98" t="s">
        <v>515</v>
      </c>
      <c r="C176" s="23">
        <v>45952.0</v>
      </c>
      <c r="D176" s="21"/>
    </row>
    <row r="177" ht="22.5" customHeight="1">
      <c r="A177" s="8" t="s">
        <v>516</v>
      </c>
      <c r="B177" s="98" t="s">
        <v>517</v>
      </c>
      <c r="C177" s="23">
        <v>45952.0</v>
      </c>
      <c r="D177" s="21"/>
    </row>
    <row r="178" ht="22.5" customHeight="1">
      <c r="A178" s="8" t="s">
        <v>518</v>
      </c>
      <c r="B178" s="98" t="s">
        <v>519</v>
      </c>
      <c r="C178" s="23">
        <v>45953.0</v>
      </c>
      <c r="D178" s="21"/>
    </row>
    <row r="179" ht="22.5" customHeight="1">
      <c r="A179" s="8" t="s">
        <v>520</v>
      </c>
      <c r="B179" s="98" t="s">
        <v>521</v>
      </c>
      <c r="C179" s="23">
        <v>45953.0</v>
      </c>
      <c r="D179" s="21"/>
    </row>
    <row r="180" ht="22.5" customHeight="1">
      <c r="A180" s="8" t="s">
        <v>522</v>
      </c>
      <c r="B180" s="98" t="s">
        <v>523</v>
      </c>
      <c r="C180" s="23">
        <v>45953.0</v>
      </c>
      <c r="D180" s="21"/>
    </row>
    <row r="181" ht="22.5" customHeight="1">
      <c r="A181" s="8" t="s">
        <v>524</v>
      </c>
      <c r="B181" s="98" t="s">
        <v>523</v>
      </c>
      <c r="C181" s="23">
        <v>45953.0</v>
      </c>
      <c r="D181" s="21"/>
    </row>
    <row r="182" ht="22.5" customHeight="1">
      <c r="A182" s="8" t="s">
        <v>525</v>
      </c>
      <c r="B182" s="98" t="s">
        <v>523</v>
      </c>
      <c r="C182" s="23">
        <v>45953.0</v>
      </c>
      <c r="D182" s="21"/>
    </row>
    <row r="183" ht="22.5" customHeight="1">
      <c r="A183" s="8" t="s">
        <v>526</v>
      </c>
      <c r="B183" s="98" t="s">
        <v>523</v>
      </c>
      <c r="C183" s="23">
        <v>45953.0</v>
      </c>
      <c r="D183" s="21"/>
    </row>
    <row r="184" ht="22.5" customHeight="1">
      <c r="A184" s="8" t="s">
        <v>527</v>
      </c>
      <c r="B184" s="98" t="s">
        <v>523</v>
      </c>
      <c r="C184" s="23">
        <v>45953.0</v>
      </c>
      <c r="D184" s="21"/>
    </row>
    <row r="185" ht="22.5" customHeight="1">
      <c r="A185" s="8" t="s">
        <v>528</v>
      </c>
      <c r="B185" s="98" t="s">
        <v>523</v>
      </c>
      <c r="C185" s="23">
        <v>45953.0</v>
      </c>
      <c r="D185" s="21"/>
    </row>
    <row r="186" ht="22.5" customHeight="1">
      <c r="A186" s="8" t="s">
        <v>529</v>
      </c>
      <c r="B186" s="98" t="s">
        <v>530</v>
      </c>
      <c r="C186" s="23">
        <v>45954.0</v>
      </c>
      <c r="D186" s="21"/>
    </row>
    <row r="187" ht="22.5" customHeight="1">
      <c r="A187" s="90" t="s">
        <v>531</v>
      </c>
      <c r="B187" s="98"/>
      <c r="C187" s="23">
        <v>45955.0</v>
      </c>
      <c r="D187" s="21"/>
    </row>
    <row r="188" ht="22.5" customHeight="1">
      <c r="A188" s="8" t="s">
        <v>532</v>
      </c>
      <c r="B188" s="98" t="s">
        <v>533</v>
      </c>
      <c r="C188" s="23">
        <v>45959.0</v>
      </c>
      <c r="D188" s="21" t="s">
        <v>489</v>
      </c>
    </row>
    <row r="189" ht="22.5" customHeight="1">
      <c r="A189" s="100" t="s">
        <v>534</v>
      </c>
      <c r="B189" s="98" t="s">
        <v>535</v>
      </c>
      <c r="C189" s="23">
        <v>45959.0</v>
      </c>
      <c r="D189" s="21"/>
    </row>
    <row r="190" ht="22.5" customHeight="1">
      <c r="A190" s="8" t="s">
        <v>536</v>
      </c>
      <c r="B190" s="98" t="s">
        <v>523</v>
      </c>
      <c r="C190" s="23">
        <v>45959.0</v>
      </c>
      <c r="D190" s="21"/>
    </row>
    <row r="191" ht="22.5" customHeight="1">
      <c r="A191" s="8" t="s">
        <v>537</v>
      </c>
      <c r="B191" s="98" t="s">
        <v>523</v>
      </c>
      <c r="C191" s="23">
        <v>45959.0</v>
      </c>
      <c r="D191" s="21"/>
    </row>
    <row r="192" ht="22.5" customHeight="1">
      <c r="A192" s="8" t="s">
        <v>538</v>
      </c>
      <c r="B192" s="98" t="s">
        <v>523</v>
      </c>
      <c r="C192" s="23">
        <v>45959.0</v>
      </c>
      <c r="D192" s="21"/>
    </row>
    <row r="193" ht="22.5" customHeight="1">
      <c r="A193" s="8" t="s">
        <v>539</v>
      </c>
      <c r="B193" s="98" t="s">
        <v>523</v>
      </c>
      <c r="C193" s="23">
        <v>45959.0</v>
      </c>
      <c r="D193" s="21"/>
    </row>
    <row r="194" ht="22.5" customHeight="1">
      <c r="A194" s="8" t="s">
        <v>540</v>
      </c>
      <c r="B194" s="98" t="s">
        <v>523</v>
      </c>
      <c r="C194" s="23">
        <v>45959.0</v>
      </c>
      <c r="D194" s="21"/>
    </row>
    <row r="195" ht="22.5" customHeight="1">
      <c r="A195" s="8" t="s">
        <v>541</v>
      </c>
      <c r="B195" s="98" t="s">
        <v>523</v>
      </c>
      <c r="C195" s="23">
        <v>45959.0</v>
      </c>
      <c r="D195" s="21"/>
    </row>
    <row r="196" ht="22.5" customHeight="1">
      <c r="A196" s="8" t="s">
        <v>542</v>
      </c>
      <c r="B196" s="98" t="s">
        <v>523</v>
      </c>
      <c r="C196" s="23">
        <v>45960.0</v>
      </c>
      <c r="D196" s="21"/>
    </row>
    <row r="197" ht="22.5" customHeight="1">
      <c r="A197" s="90" t="s">
        <v>543</v>
      </c>
      <c r="B197" s="98" t="s">
        <v>544</v>
      </c>
      <c r="C197" s="23">
        <v>45960.0</v>
      </c>
      <c r="D197" s="21"/>
    </row>
    <row r="198" ht="22.5" customHeight="1">
      <c r="A198" s="8" t="s">
        <v>545</v>
      </c>
      <c r="B198" s="98" t="s">
        <v>546</v>
      </c>
      <c r="C198" s="23">
        <v>45966.0</v>
      </c>
      <c r="D198" s="21"/>
    </row>
    <row r="199" ht="22.5" customHeight="1">
      <c r="A199" s="90" t="s">
        <v>547</v>
      </c>
      <c r="B199" s="98" t="s">
        <v>546</v>
      </c>
      <c r="C199" s="23">
        <v>45966.0</v>
      </c>
      <c r="D199" s="21"/>
    </row>
    <row r="200" ht="22.5" customHeight="1">
      <c r="A200" s="8" t="s">
        <v>548</v>
      </c>
      <c r="B200" s="98" t="s">
        <v>549</v>
      </c>
      <c r="C200" s="23">
        <v>45967.0</v>
      </c>
      <c r="D200" s="21"/>
    </row>
    <row r="201" ht="22.5" customHeight="1">
      <c r="A201" s="8" t="s">
        <v>550</v>
      </c>
      <c r="B201" s="98" t="s">
        <v>551</v>
      </c>
      <c r="C201" s="23">
        <v>45967.0</v>
      </c>
      <c r="D201" s="21"/>
    </row>
    <row r="202" ht="22.5" customHeight="1">
      <c r="A202" s="8" t="s">
        <v>552</v>
      </c>
      <c r="B202" s="98" t="s">
        <v>551</v>
      </c>
      <c r="C202" s="23">
        <v>45967.0</v>
      </c>
      <c r="D202" s="21"/>
    </row>
    <row r="203" ht="22.5" customHeight="1">
      <c r="A203" s="8" t="s">
        <v>553</v>
      </c>
      <c r="B203" s="98" t="s">
        <v>273</v>
      </c>
      <c r="C203" s="23">
        <v>45968.0</v>
      </c>
      <c r="D203" s="21"/>
    </row>
    <row r="204" ht="22.5" customHeight="1">
      <c r="A204" s="8" t="s">
        <v>554</v>
      </c>
      <c r="B204" s="98" t="s">
        <v>273</v>
      </c>
      <c r="C204" s="23">
        <v>45968.0</v>
      </c>
      <c r="D204" s="21"/>
    </row>
    <row r="205" ht="22.5" customHeight="1">
      <c r="A205" s="8" t="s">
        <v>555</v>
      </c>
      <c r="B205" s="98" t="s">
        <v>505</v>
      </c>
      <c r="C205" s="23">
        <v>45968.0</v>
      </c>
      <c r="D205" s="21"/>
    </row>
    <row r="206" ht="22.5" customHeight="1">
      <c r="A206" s="8" t="s">
        <v>556</v>
      </c>
      <c r="B206" s="98" t="s">
        <v>557</v>
      </c>
      <c r="C206" s="23">
        <v>45968.0</v>
      </c>
      <c r="D206" s="21"/>
    </row>
    <row r="207" ht="22.5" customHeight="1">
      <c r="A207" s="8" t="s">
        <v>558</v>
      </c>
      <c r="B207" s="98" t="s">
        <v>559</v>
      </c>
      <c r="C207" s="23">
        <v>45968.0</v>
      </c>
      <c r="D207" s="21"/>
    </row>
    <row r="208" ht="22.5" customHeight="1">
      <c r="A208" s="8" t="s">
        <v>560</v>
      </c>
      <c r="B208" s="98" t="s">
        <v>561</v>
      </c>
      <c r="C208" s="23">
        <v>45968.0</v>
      </c>
      <c r="D208" s="21"/>
    </row>
    <row r="209" ht="22.5" customHeight="1">
      <c r="A209" s="90" t="s">
        <v>562</v>
      </c>
      <c r="B209" s="98"/>
      <c r="C209" s="23">
        <v>45968.0</v>
      </c>
      <c r="D209" s="21"/>
    </row>
    <row r="210" ht="22.5" customHeight="1">
      <c r="A210" s="90" t="s">
        <v>563</v>
      </c>
      <c r="B210" s="98"/>
      <c r="C210" s="23">
        <v>45968.0</v>
      </c>
      <c r="D210" s="21"/>
    </row>
    <row r="211" ht="22.5" customHeight="1">
      <c r="A211" s="90" t="s">
        <v>564</v>
      </c>
      <c r="B211" s="98"/>
      <c r="C211" s="23">
        <v>45968.0</v>
      </c>
      <c r="D211" s="21"/>
    </row>
    <row r="212" ht="22.5" customHeight="1">
      <c r="A212" s="90" t="s">
        <v>565</v>
      </c>
      <c r="B212" s="98"/>
      <c r="C212" s="23">
        <v>45968.0</v>
      </c>
      <c r="D212" s="21"/>
    </row>
    <row r="213" ht="22.5" customHeight="1">
      <c r="A213" s="90" t="s">
        <v>566</v>
      </c>
      <c r="B213" s="98" t="s">
        <v>567</v>
      </c>
      <c r="C213" s="23">
        <v>45940.0</v>
      </c>
      <c r="D213" s="21"/>
    </row>
    <row r="214" ht="22.5" customHeight="1">
      <c r="A214" s="8" t="s">
        <v>568</v>
      </c>
      <c r="B214" s="101" t="s">
        <v>567</v>
      </c>
      <c r="C214" s="23">
        <v>45941.0</v>
      </c>
      <c r="D214" s="21"/>
    </row>
    <row r="215" ht="22.5" customHeight="1">
      <c r="A215" s="90" t="s">
        <v>569</v>
      </c>
      <c r="B215" s="98" t="s">
        <v>570</v>
      </c>
      <c r="C215" s="23">
        <v>45941.0</v>
      </c>
      <c r="D215" s="21"/>
    </row>
    <row r="216" ht="22.5" customHeight="1">
      <c r="A216" s="90" t="s">
        <v>571</v>
      </c>
      <c r="B216" s="98" t="s">
        <v>572</v>
      </c>
      <c r="C216" s="23">
        <v>45941.0</v>
      </c>
      <c r="D216" s="21"/>
    </row>
    <row r="217" ht="22.5" customHeight="1">
      <c r="A217" s="8" t="s">
        <v>573</v>
      </c>
      <c r="B217" s="98" t="s">
        <v>523</v>
      </c>
      <c r="C217" s="23">
        <v>45975.0</v>
      </c>
      <c r="D217" s="21"/>
    </row>
    <row r="218" ht="22.5" customHeight="1">
      <c r="A218" s="8" t="s">
        <v>574</v>
      </c>
      <c r="B218" s="98" t="s">
        <v>575</v>
      </c>
      <c r="C218" s="23">
        <v>45975.0</v>
      </c>
      <c r="D218" s="21"/>
    </row>
    <row r="219" ht="22.5" customHeight="1">
      <c r="A219" s="8" t="s">
        <v>576</v>
      </c>
      <c r="B219" s="98" t="s">
        <v>577</v>
      </c>
      <c r="C219" s="23">
        <v>45975.0</v>
      </c>
      <c r="D219" s="21"/>
    </row>
    <row r="220" ht="22.5" customHeight="1">
      <c r="A220" s="8" t="s">
        <v>578</v>
      </c>
      <c r="B220" s="98" t="s">
        <v>481</v>
      </c>
      <c r="C220" s="23">
        <v>45978.0</v>
      </c>
      <c r="D220" s="21"/>
    </row>
    <row r="221" ht="22.5" customHeight="1">
      <c r="A221" s="8" t="s">
        <v>579</v>
      </c>
      <c r="B221" s="98" t="s">
        <v>580</v>
      </c>
      <c r="C221" s="23">
        <v>45978.0</v>
      </c>
      <c r="D221" s="21"/>
    </row>
    <row r="222" ht="22.5" customHeight="1">
      <c r="A222" s="8" t="s">
        <v>581</v>
      </c>
      <c r="B222" s="98" t="s">
        <v>582</v>
      </c>
      <c r="C222" s="23">
        <v>45978.0</v>
      </c>
      <c r="D222" s="21"/>
    </row>
    <row r="223" ht="22.5" customHeight="1">
      <c r="A223" s="8" t="s">
        <v>583</v>
      </c>
      <c r="B223" s="98" t="s">
        <v>584</v>
      </c>
      <c r="C223" s="23">
        <v>45978.0</v>
      </c>
      <c r="D223" s="21"/>
    </row>
    <row r="224" ht="22.5" customHeight="1">
      <c r="A224" s="8" t="s">
        <v>585</v>
      </c>
      <c r="B224" s="98" t="s">
        <v>586</v>
      </c>
      <c r="C224" s="23">
        <v>45978.0</v>
      </c>
      <c r="D224" s="21"/>
    </row>
    <row r="225" ht="22.5" customHeight="1">
      <c r="A225" s="8" t="s">
        <v>587</v>
      </c>
      <c r="B225" s="98" t="s">
        <v>588</v>
      </c>
      <c r="C225" s="23">
        <v>45979.0</v>
      </c>
      <c r="D225" s="21"/>
    </row>
    <row r="226" ht="22.5" customHeight="1">
      <c r="A226" s="8" t="s">
        <v>589</v>
      </c>
      <c r="B226" s="98" t="s">
        <v>590</v>
      </c>
      <c r="C226" s="23">
        <v>45980.0</v>
      </c>
      <c r="D226" s="21"/>
    </row>
    <row r="227" ht="22.5" customHeight="1">
      <c r="A227" s="8" t="s">
        <v>591</v>
      </c>
      <c r="B227" s="98" t="s">
        <v>590</v>
      </c>
      <c r="C227" s="23">
        <v>45980.0</v>
      </c>
      <c r="D227" s="21"/>
    </row>
    <row r="228" ht="22.5" customHeight="1">
      <c r="A228" s="8" t="s">
        <v>592</v>
      </c>
      <c r="B228" s="98" t="s">
        <v>590</v>
      </c>
      <c r="C228" s="23">
        <v>45980.0</v>
      </c>
      <c r="D228" s="21"/>
    </row>
    <row r="229" ht="22.5" customHeight="1">
      <c r="A229" s="90" t="s">
        <v>593</v>
      </c>
      <c r="B229" s="98"/>
      <c r="C229" s="23">
        <v>45986.0</v>
      </c>
      <c r="D229" s="21"/>
    </row>
    <row r="230" ht="22.5" customHeight="1">
      <c r="A230" s="8" t="s">
        <v>594</v>
      </c>
      <c r="B230" s="98"/>
      <c r="C230" s="23">
        <v>45988.0</v>
      </c>
      <c r="D230" s="21"/>
    </row>
    <row r="231" ht="22.5" customHeight="1">
      <c r="A231" s="8" t="s">
        <v>595</v>
      </c>
      <c r="B231" s="98"/>
      <c r="C231" s="23">
        <v>45995.0</v>
      </c>
      <c r="D231" s="21"/>
    </row>
    <row r="232" ht="22.5" customHeight="1">
      <c r="A232" s="90" t="s">
        <v>596</v>
      </c>
      <c r="B232" s="98"/>
      <c r="C232" s="23">
        <v>45995.0</v>
      </c>
      <c r="D232" s="21"/>
    </row>
    <row r="233" ht="22.5" customHeight="1">
      <c r="A233" s="8" t="s">
        <v>597</v>
      </c>
      <c r="B233" s="98"/>
      <c r="C233" s="23">
        <v>45999.0</v>
      </c>
      <c r="D233" s="21"/>
    </row>
    <row r="234" ht="22.5" customHeight="1">
      <c r="A234" s="8" t="s">
        <v>598</v>
      </c>
      <c r="B234" s="98"/>
      <c r="C234" s="23">
        <v>46000.0</v>
      </c>
      <c r="D234" s="21"/>
    </row>
    <row r="235" ht="22.5" customHeight="1">
      <c r="A235" s="8" t="s">
        <v>599</v>
      </c>
      <c r="B235" s="98"/>
      <c r="C235" s="23">
        <v>46000.0</v>
      </c>
      <c r="D235" s="21"/>
    </row>
    <row r="236" ht="22.5" customHeight="1">
      <c r="A236" s="8" t="s">
        <v>600</v>
      </c>
      <c r="B236" s="98"/>
      <c r="C236" s="23">
        <v>46001.0</v>
      </c>
      <c r="D236" s="21"/>
    </row>
    <row r="237" ht="22.5" customHeight="1">
      <c r="A237" s="8" t="s">
        <v>601</v>
      </c>
      <c r="B237" s="98"/>
      <c r="C237" s="23">
        <v>46001.0</v>
      </c>
      <c r="D237" s="21"/>
    </row>
    <row r="238" ht="22.5" customHeight="1">
      <c r="A238" s="8" t="s">
        <v>602</v>
      </c>
      <c r="B238" s="98"/>
      <c r="C238" s="23">
        <v>46001.0</v>
      </c>
      <c r="D238" s="21"/>
    </row>
    <row r="239" ht="22.5" customHeight="1">
      <c r="A239" s="8" t="s">
        <v>603</v>
      </c>
      <c r="B239" s="98"/>
      <c r="C239" s="23">
        <v>46001.0</v>
      </c>
      <c r="D239" s="21"/>
    </row>
    <row r="240" ht="22.5" customHeight="1">
      <c r="A240" s="8" t="s">
        <v>604</v>
      </c>
      <c r="B240" s="98"/>
      <c r="C240" s="23">
        <v>46001.0</v>
      </c>
      <c r="D240" s="21"/>
    </row>
    <row r="241" ht="22.5" customHeight="1">
      <c r="A241" s="8" t="s">
        <v>605</v>
      </c>
      <c r="B241" s="98"/>
      <c r="C241" s="23">
        <v>46002.0</v>
      </c>
      <c r="D241" s="21"/>
    </row>
    <row r="242" ht="22.5" customHeight="1">
      <c r="A242" s="8" t="s">
        <v>606</v>
      </c>
      <c r="B242" s="98"/>
      <c r="C242" s="23">
        <v>46002.0</v>
      </c>
      <c r="D242" s="21"/>
    </row>
    <row r="243" ht="22.5" customHeight="1">
      <c r="A243" s="8" t="s">
        <v>607</v>
      </c>
      <c r="B243" s="98"/>
      <c r="C243" s="23">
        <v>46002.0</v>
      </c>
      <c r="D243" s="21"/>
    </row>
    <row r="244" ht="22.5" customHeight="1">
      <c r="A244" s="8" t="s">
        <v>608</v>
      </c>
      <c r="B244" s="98"/>
      <c r="C244" s="23">
        <v>46002.0</v>
      </c>
      <c r="D244" s="21"/>
    </row>
    <row r="245" ht="22.5" customHeight="1">
      <c r="A245" s="8" t="s">
        <v>609</v>
      </c>
      <c r="B245" s="98"/>
      <c r="C245" s="23">
        <v>46003.0</v>
      </c>
      <c r="D245" s="21"/>
    </row>
    <row r="246" ht="22.5" customHeight="1">
      <c r="A246" s="8" t="s">
        <v>610</v>
      </c>
      <c r="B246" s="98"/>
      <c r="C246" s="23">
        <v>46003.0</v>
      </c>
      <c r="D246" s="21"/>
    </row>
    <row r="247" ht="22.5" customHeight="1">
      <c r="A247" s="8" t="s">
        <v>611</v>
      </c>
      <c r="B247" s="98"/>
      <c r="C247" s="23">
        <v>46003.0</v>
      </c>
      <c r="D247" s="21"/>
    </row>
    <row r="248" ht="22.5" customHeight="1">
      <c r="A248" s="8" t="s">
        <v>612</v>
      </c>
      <c r="B248" s="98"/>
      <c r="C248" s="23">
        <v>46003.0</v>
      </c>
      <c r="D248" s="21"/>
    </row>
    <row r="249" ht="22.5" customHeight="1">
      <c r="A249" s="8" t="s">
        <v>613</v>
      </c>
      <c r="B249" s="98"/>
      <c r="C249" s="23">
        <v>46003.0</v>
      </c>
      <c r="D249" s="21"/>
    </row>
    <row r="250" ht="22.5" customHeight="1">
      <c r="A250" s="8" t="s">
        <v>614</v>
      </c>
      <c r="B250" s="98"/>
      <c r="C250" s="23">
        <v>46003.0</v>
      </c>
      <c r="D250" s="21"/>
    </row>
    <row r="251" ht="22.5" customHeight="1">
      <c r="A251" s="90" t="s">
        <v>615</v>
      </c>
      <c r="B251" s="98"/>
      <c r="C251" s="23">
        <v>46003.0</v>
      </c>
      <c r="D251" s="21"/>
    </row>
    <row r="252" ht="22.5" customHeight="1">
      <c r="A252" s="8" t="s">
        <v>616</v>
      </c>
      <c r="B252" s="98"/>
      <c r="C252" s="23">
        <v>46007.0</v>
      </c>
      <c r="D252" s="21"/>
    </row>
    <row r="253" ht="22.5" customHeight="1">
      <c r="A253" s="90" t="s">
        <v>617</v>
      </c>
      <c r="B253" s="98"/>
      <c r="C253" s="23">
        <v>46007.0</v>
      </c>
      <c r="D253" s="21"/>
    </row>
    <row r="254" ht="22.5" customHeight="1">
      <c r="A254" s="8" t="s">
        <v>618</v>
      </c>
      <c r="B254" s="98"/>
      <c r="C254" s="23">
        <v>46008.0</v>
      </c>
      <c r="D254" s="21"/>
    </row>
    <row r="255" ht="22.5" customHeight="1">
      <c r="A255" s="8" t="s">
        <v>619</v>
      </c>
      <c r="B255" s="98"/>
      <c r="C255" s="23">
        <v>46008.0</v>
      </c>
      <c r="D255" s="21"/>
    </row>
    <row r="256" ht="22.5" customHeight="1">
      <c r="A256" s="8" t="s">
        <v>620</v>
      </c>
      <c r="B256" s="98"/>
      <c r="C256" s="23">
        <v>46008.0</v>
      </c>
      <c r="D256" s="21"/>
    </row>
    <row r="257" ht="22.5" customHeight="1">
      <c r="A257" s="8" t="s">
        <v>621</v>
      </c>
      <c r="B257" s="98"/>
      <c r="C257" s="23">
        <v>46008.0</v>
      </c>
      <c r="D257" s="21"/>
    </row>
    <row r="258" ht="22.5" customHeight="1">
      <c r="A258" s="8" t="s">
        <v>622</v>
      </c>
      <c r="B258" s="98"/>
      <c r="C258" s="23">
        <v>46008.0</v>
      </c>
      <c r="D258" s="21"/>
    </row>
    <row r="259" ht="22.5" customHeight="1">
      <c r="A259" s="8" t="s">
        <v>623</v>
      </c>
      <c r="B259" s="98"/>
      <c r="C259" s="23">
        <v>46008.0</v>
      </c>
      <c r="D259" s="21"/>
    </row>
    <row r="260" ht="22.5" customHeight="1">
      <c r="A260" s="8" t="s">
        <v>624</v>
      </c>
      <c r="B260" s="98"/>
      <c r="C260" s="23">
        <v>46008.0</v>
      </c>
      <c r="D260" s="21"/>
    </row>
    <row r="261" ht="22.5" customHeight="1">
      <c r="A261" s="102" t="s">
        <v>598</v>
      </c>
      <c r="B261" s="98"/>
      <c r="C261" s="23">
        <v>46009.0</v>
      </c>
      <c r="D261" s="21"/>
    </row>
    <row r="262" ht="22.5" customHeight="1">
      <c r="A262" s="90" t="s">
        <v>625</v>
      </c>
      <c r="B262" s="98"/>
      <c r="C262" s="23">
        <v>46009.0</v>
      </c>
      <c r="D262" s="21"/>
    </row>
    <row r="263" ht="22.5" customHeight="1">
      <c r="A263" s="8" t="s">
        <v>626</v>
      </c>
      <c r="B263" s="98"/>
      <c r="C263" s="23">
        <v>46009.0</v>
      </c>
      <c r="D263" s="21"/>
    </row>
    <row r="264" ht="22.5" customHeight="1">
      <c r="A264" s="8" t="s">
        <v>560</v>
      </c>
      <c r="B264" s="98"/>
      <c r="C264" s="23">
        <v>46009.0</v>
      </c>
      <c r="D264" s="21"/>
    </row>
    <row r="265" ht="22.5" customHeight="1">
      <c r="A265" s="8" t="s">
        <v>627</v>
      </c>
      <c r="B265" s="98"/>
      <c r="C265" s="23">
        <v>46009.0</v>
      </c>
      <c r="D265" s="21"/>
    </row>
    <row r="266" ht="22.5" customHeight="1">
      <c r="A266" s="8" t="s">
        <v>628</v>
      </c>
      <c r="B266" s="98"/>
      <c r="C266" s="23">
        <v>46009.0</v>
      </c>
      <c r="D266" s="21"/>
    </row>
    <row r="267" ht="22.5" customHeight="1">
      <c r="A267" s="8" t="s">
        <v>629</v>
      </c>
      <c r="B267" s="98"/>
      <c r="C267" s="23">
        <v>46009.0</v>
      </c>
      <c r="D267" s="21"/>
    </row>
    <row r="268" ht="22.5" customHeight="1">
      <c r="A268" s="8" t="s">
        <v>630</v>
      </c>
      <c r="B268" s="98"/>
      <c r="C268" s="23">
        <v>46009.0</v>
      </c>
      <c r="D268" s="21"/>
    </row>
    <row r="269" ht="22.5" customHeight="1">
      <c r="A269" s="8" t="s">
        <v>631</v>
      </c>
      <c r="B269" s="98"/>
      <c r="C269" s="23">
        <v>46009.0</v>
      </c>
      <c r="D269" s="21"/>
    </row>
    <row r="270" ht="22.5" customHeight="1">
      <c r="A270" s="8" t="s">
        <v>632</v>
      </c>
      <c r="B270" s="98"/>
      <c r="C270" s="23">
        <v>46009.0</v>
      </c>
      <c r="D270" s="21"/>
    </row>
    <row r="271" ht="22.5" customHeight="1">
      <c r="A271" s="8" t="s">
        <v>633</v>
      </c>
      <c r="B271" s="98"/>
      <c r="C271" s="23">
        <v>46009.0</v>
      </c>
      <c r="D271" s="21"/>
    </row>
    <row r="272" ht="22.5" customHeight="1">
      <c r="A272" s="8" t="s">
        <v>634</v>
      </c>
      <c r="B272" s="98"/>
      <c r="C272" s="23">
        <v>46010.0</v>
      </c>
      <c r="D272" s="21" t="s">
        <v>259</v>
      </c>
    </row>
    <row r="273" ht="22.5" customHeight="1">
      <c r="A273" s="8" t="s">
        <v>635</v>
      </c>
      <c r="B273" s="98"/>
      <c r="C273" s="23">
        <v>46010.0</v>
      </c>
      <c r="D273" s="21"/>
    </row>
    <row r="274" ht="22.5" customHeight="1">
      <c r="A274" s="8" t="s">
        <v>636</v>
      </c>
      <c r="B274" s="98"/>
      <c r="C274" s="23">
        <v>46010.0</v>
      </c>
      <c r="D274" s="21"/>
    </row>
    <row r="275" ht="22.5" customHeight="1">
      <c r="A275" s="8" t="s">
        <v>637</v>
      </c>
      <c r="B275" s="98"/>
      <c r="C275" s="23">
        <v>46010.0</v>
      </c>
      <c r="D275" s="21"/>
    </row>
    <row r="276" ht="22.5" customHeight="1">
      <c r="A276" s="8" t="s">
        <v>638</v>
      </c>
      <c r="B276" s="98"/>
      <c r="C276" s="23">
        <v>46010.0</v>
      </c>
      <c r="D276" s="21"/>
    </row>
    <row r="277" ht="22.5" customHeight="1">
      <c r="A277" s="8" t="s">
        <v>639</v>
      </c>
      <c r="B277" s="98"/>
      <c r="C277" s="23">
        <v>46010.0</v>
      </c>
      <c r="D277" s="21"/>
    </row>
    <row r="278" ht="22.5" customHeight="1">
      <c r="A278" s="8" t="s">
        <v>640</v>
      </c>
      <c r="B278" s="98"/>
      <c r="C278" s="23">
        <v>46013.0</v>
      </c>
      <c r="D278" s="21" t="s">
        <v>259</v>
      </c>
    </row>
    <row r="279" ht="22.5" customHeight="1">
      <c r="A279" s="8" t="s">
        <v>641</v>
      </c>
      <c r="B279" s="98"/>
      <c r="C279" s="23">
        <v>46014.0</v>
      </c>
      <c r="D279" s="21"/>
    </row>
    <row r="280" ht="22.5" customHeight="1">
      <c r="A280" s="8" t="s">
        <v>642</v>
      </c>
      <c r="B280" s="98"/>
      <c r="C280" s="23">
        <v>46014.0</v>
      </c>
      <c r="D280" s="21"/>
    </row>
    <row r="281" ht="22.5" customHeight="1">
      <c r="A281" s="8" t="s">
        <v>643</v>
      </c>
      <c r="B281" s="98"/>
      <c r="C281" s="23">
        <v>46014.0</v>
      </c>
      <c r="D281" s="21"/>
    </row>
    <row r="282" ht="22.5" customHeight="1">
      <c r="A282" s="90" t="s">
        <v>644</v>
      </c>
      <c r="B282" s="98"/>
      <c r="C282" s="23">
        <v>46014.0</v>
      </c>
      <c r="D282" s="21"/>
    </row>
    <row r="283" ht="22.5" customHeight="1">
      <c r="A283" s="8" t="s">
        <v>645</v>
      </c>
      <c r="B283" s="98"/>
      <c r="C283" s="23">
        <v>46014.0</v>
      </c>
      <c r="D283" s="21"/>
    </row>
    <row r="284" ht="22.5" customHeight="1">
      <c r="A284" s="8" t="s">
        <v>646</v>
      </c>
      <c r="B284" s="98"/>
      <c r="C284" s="23">
        <v>46014.0</v>
      </c>
      <c r="D284" s="21"/>
    </row>
    <row r="285" ht="22.5" customHeight="1">
      <c r="A285" s="8" t="s">
        <v>647</v>
      </c>
      <c r="B285" s="98"/>
      <c r="C285" s="23">
        <v>46014.0</v>
      </c>
      <c r="D285" s="21"/>
    </row>
    <row r="286" ht="22.5" customHeight="1">
      <c r="A286" s="90" t="s">
        <v>648</v>
      </c>
      <c r="B286" s="98"/>
      <c r="C286" s="23">
        <v>46014.0</v>
      </c>
      <c r="D286" s="21"/>
    </row>
    <row r="287" ht="22.5" customHeight="1">
      <c r="A287" s="8" t="s">
        <v>649</v>
      </c>
      <c r="B287" s="98"/>
      <c r="C287" s="23">
        <v>46021.0</v>
      </c>
      <c r="D287" s="21"/>
    </row>
    <row r="288" ht="22.5" customHeight="1">
      <c r="A288" s="8" t="s">
        <v>650</v>
      </c>
      <c r="B288" s="98"/>
      <c r="C288" s="23">
        <v>46021.0</v>
      </c>
      <c r="D288" s="21"/>
    </row>
    <row r="289" ht="22.5" customHeight="1">
      <c r="A289" s="90" t="s">
        <v>651</v>
      </c>
      <c r="B289" s="98"/>
      <c r="C289" s="23">
        <v>46021.0</v>
      </c>
      <c r="D289" s="21"/>
    </row>
    <row r="290" ht="22.5" customHeight="1">
      <c r="A290" s="90" t="s">
        <v>652</v>
      </c>
      <c r="B290" s="98"/>
      <c r="C290" s="23">
        <v>46021.0</v>
      </c>
      <c r="D290" s="21"/>
    </row>
    <row r="291" ht="22.5" customHeight="1">
      <c r="A291" s="8" t="s">
        <v>653</v>
      </c>
      <c r="B291" s="98"/>
      <c r="C291" s="23">
        <v>46021.0</v>
      </c>
      <c r="D291" s="21"/>
    </row>
    <row r="292" ht="22.5" customHeight="1">
      <c r="A292" s="8" t="s">
        <v>654</v>
      </c>
      <c r="B292" s="98"/>
      <c r="C292" s="23">
        <v>46021.0</v>
      </c>
      <c r="D292" s="21"/>
    </row>
    <row r="293" ht="22.5" customHeight="1">
      <c r="A293" s="8" t="s">
        <v>655</v>
      </c>
      <c r="B293" s="98"/>
      <c r="C293" s="23">
        <v>46029.0</v>
      </c>
      <c r="D293" s="21"/>
    </row>
    <row r="294" ht="22.5" customHeight="1">
      <c r="A294" s="8" t="s">
        <v>656</v>
      </c>
      <c r="B294" s="98"/>
      <c r="C294" s="23">
        <v>46030.0</v>
      </c>
      <c r="D294" s="21"/>
    </row>
    <row r="295" ht="22.5" customHeight="1">
      <c r="A295" s="8" t="s">
        <v>657</v>
      </c>
      <c r="B295" s="98"/>
      <c r="C295" s="23">
        <v>46030.0</v>
      </c>
      <c r="D295" s="21"/>
    </row>
    <row r="296" ht="22.5" customHeight="1">
      <c r="A296" s="8" t="s">
        <v>658</v>
      </c>
      <c r="B296" s="98"/>
      <c r="C296" s="23">
        <v>46030.0</v>
      </c>
      <c r="D296" s="21"/>
    </row>
    <row r="297" ht="22.5" customHeight="1">
      <c r="A297" s="8" t="s">
        <v>659</v>
      </c>
      <c r="B297" s="98"/>
      <c r="C297" s="23">
        <v>46030.0</v>
      </c>
      <c r="D297" s="21"/>
    </row>
    <row r="298" ht="22.5" customHeight="1">
      <c r="A298" s="8" t="s">
        <v>660</v>
      </c>
      <c r="B298" s="98"/>
      <c r="C298" s="23">
        <v>46030.0</v>
      </c>
      <c r="D298" s="21"/>
    </row>
    <row r="299" ht="22.5" customHeight="1">
      <c r="A299" s="8" t="s">
        <v>661</v>
      </c>
      <c r="B299" s="98"/>
      <c r="C299" s="23">
        <v>46030.0</v>
      </c>
      <c r="D299" s="21"/>
    </row>
    <row r="300" ht="22.5" customHeight="1">
      <c r="A300" s="8" t="s">
        <v>662</v>
      </c>
      <c r="B300" s="98"/>
      <c r="C300" s="23">
        <v>46030.0</v>
      </c>
      <c r="D300" s="21"/>
    </row>
    <row r="301" ht="22.5" customHeight="1">
      <c r="A301" s="90" t="s">
        <v>663</v>
      </c>
      <c r="B301" s="98"/>
      <c r="C301" s="23">
        <v>46038.0</v>
      </c>
      <c r="D301" s="21"/>
    </row>
    <row r="302" ht="22.5" customHeight="1">
      <c r="A302" s="8" t="s">
        <v>664</v>
      </c>
      <c r="B302" s="98"/>
      <c r="C302" s="23">
        <v>46038.0</v>
      </c>
      <c r="D302" s="21"/>
    </row>
    <row r="303" ht="22.5" customHeight="1">
      <c r="A303" s="8" t="s">
        <v>665</v>
      </c>
      <c r="B303" s="98"/>
      <c r="C303" s="23">
        <v>46038.0</v>
      </c>
      <c r="D303" s="21"/>
    </row>
    <row r="304" ht="22.5" customHeight="1">
      <c r="A304" s="8" t="s">
        <v>666</v>
      </c>
      <c r="B304" s="98"/>
      <c r="C304" s="23">
        <v>46038.0</v>
      </c>
      <c r="D304" s="21"/>
    </row>
    <row r="305" ht="22.5" customHeight="1">
      <c r="A305" s="8" t="s">
        <v>667</v>
      </c>
      <c r="B305" s="98"/>
      <c r="C305" s="23">
        <v>46042.0</v>
      </c>
      <c r="D305" s="21"/>
    </row>
    <row r="306" ht="22.5" customHeight="1">
      <c r="A306" s="8" t="s">
        <v>668</v>
      </c>
      <c r="B306" s="98"/>
      <c r="C306" s="23">
        <v>46044.0</v>
      </c>
      <c r="D306" s="21"/>
    </row>
    <row r="307" ht="22.5" customHeight="1">
      <c r="A307" s="8" t="s">
        <v>669</v>
      </c>
      <c r="B307" s="98"/>
      <c r="C307" s="23">
        <v>46044.0</v>
      </c>
      <c r="D307" s="21"/>
    </row>
    <row r="308" ht="22.5" customHeight="1">
      <c r="A308" s="8" t="s">
        <v>670</v>
      </c>
      <c r="B308" s="98"/>
      <c r="C308" s="23">
        <v>46044.0</v>
      </c>
      <c r="D308" s="21"/>
    </row>
    <row r="309" ht="22.5" customHeight="1">
      <c r="A309" s="8" t="s">
        <v>671</v>
      </c>
      <c r="B309" s="98"/>
      <c r="C309" s="23">
        <v>46049.0</v>
      </c>
      <c r="D309" s="21"/>
    </row>
    <row r="310" ht="22.5" customHeight="1">
      <c r="A310" s="8" t="s">
        <v>672</v>
      </c>
      <c r="B310" s="98"/>
      <c r="C310" s="23">
        <v>46050.0</v>
      </c>
      <c r="D310" s="21"/>
    </row>
    <row r="311" ht="22.5" customHeight="1">
      <c r="A311" s="8" t="s">
        <v>673</v>
      </c>
      <c r="B311" s="98"/>
      <c r="C311" s="23">
        <v>46050.0</v>
      </c>
      <c r="D311" s="21"/>
    </row>
    <row r="312" ht="22.5" customHeight="1">
      <c r="A312" s="8" t="s">
        <v>674</v>
      </c>
      <c r="B312" s="98"/>
      <c r="C312" s="23">
        <v>46050.0</v>
      </c>
      <c r="D312" s="21"/>
    </row>
    <row r="313" ht="22.5" customHeight="1">
      <c r="A313" s="8" t="s">
        <v>675</v>
      </c>
      <c r="B313" s="98"/>
      <c r="C313" s="23">
        <v>46050.0</v>
      </c>
      <c r="D313" s="21"/>
    </row>
    <row r="314" ht="22.5" customHeight="1">
      <c r="A314" s="8" t="s">
        <v>676</v>
      </c>
      <c r="B314" s="98"/>
      <c r="C314" s="23">
        <v>46050.0</v>
      </c>
      <c r="D314" s="21"/>
    </row>
    <row r="315" ht="22.5" customHeight="1">
      <c r="A315" s="8" t="s">
        <v>677</v>
      </c>
      <c r="B315" s="98"/>
      <c r="C315" s="23">
        <v>46050.0</v>
      </c>
      <c r="D315" s="21" t="s">
        <v>268</v>
      </c>
    </row>
    <row r="316" ht="22.5" customHeight="1">
      <c r="A316" s="8" t="s">
        <v>678</v>
      </c>
      <c r="B316" s="98"/>
      <c r="C316" s="23">
        <v>46051.0</v>
      </c>
      <c r="D316" s="21"/>
    </row>
    <row r="317" ht="22.5" customHeight="1">
      <c r="A317" s="8" t="s">
        <v>679</v>
      </c>
      <c r="B317" s="98"/>
      <c r="C317" s="23">
        <v>46051.0</v>
      </c>
      <c r="D317" s="21"/>
    </row>
    <row r="318" ht="22.5" customHeight="1">
      <c r="A318" s="8" t="s">
        <v>680</v>
      </c>
      <c r="B318" s="98"/>
      <c r="C318" s="23">
        <v>46051.0</v>
      </c>
      <c r="D318" s="21"/>
    </row>
    <row r="319" ht="22.5" customHeight="1">
      <c r="A319" s="8" t="s">
        <v>681</v>
      </c>
      <c r="B319" s="98"/>
      <c r="C319" s="23">
        <v>46051.0</v>
      </c>
      <c r="D319" s="21"/>
    </row>
    <row r="320" ht="22.5" customHeight="1">
      <c r="A320" s="8" t="s">
        <v>682</v>
      </c>
      <c r="B320" s="98"/>
      <c r="C320" s="23">
        <v>46051.0</v>
      </c>
      <c r="D320" s="21" t="s">
        <v>268</v>
      </c>
    </row>
    <row r="321" ht="22.5" customHeight="1">
      <c r="A321" s="8" t="s">
        <v>683</v>
      </c>
      <c r="B321" s="98"/>
      <c r="C321" s="23">
        <v>46051.0</v>
      </c>
      <c r="D321" s="21" t="s">
        <v>268</v>
      </c>
    </row>
    <row r="322" ht="22.5" customHeight="1">
      <c r="A322" s="8" t="s">
        <v>684</v>
      </c>
      <c r="B322" s="98"/>
      <c r="C322" s="23">
        <v>46052.0</v>
      </c>
      <c r="D322" s="21" t="s">
        <v>685</v>
      </c>
    </row>
    <row r="323" ht="22.5" customHeight="1">
      <c r="A323" s="8" t="s">
        <v>686</v>
      </c>
      <c r="B323" s="98"/>
      <c r="C323" s="23">
        <v>46055.0</v>
      </c>
      <c r="D323" s="21"/>
    </row>
    <row r="324" ht="22.5" customHeight="1">
      <c r="A324" s="8" t="s">
        <v>687</v>
      </c>
      <c r="B324" s="98"/>
      <c r="C324" s="23">
        <v>46056.0</v>
      </c>
      <c r="D324" s="21"/>
    </row>
    <row r="325" ht="22.5" customHeight="1">
      <c r="A325" s="8" t="s">
        <v>688</v>
      </c>
      <c r="B325" s="98"/>
      <c r="C325" s="23">
        <v>46056.0</v>
      </c>
      <c r="D325" s="21"/>
    </row>
    <row r="326" ht="22.5" customHeight="1">
      <c r="A326" s="8" t="s">
        <v>689</v>
      </c>
      <c r="B326" s="98"/>
      <c r="C326" s="23">
        <v>46056.0</v>
      </c>
      <c r="D326" s="21"/>
    </row>
    <row r="327" ht="22.5" customHeight="1">
      <c r="A327" s="8" t="s">
        <v>690</v>
      </c>
      <c r="B327" s="98"/>
      <c r="C327" s="23">
        <v>46056.0</v>
      </c>
      <c r="D327" s="21"/>
    </row>
    <row r="328" ht="22.5" customHeight="1">
      <c r="A328" s="8" t="s">
        <v>691</v>
      </c>
      <c r="B328" s="98"/>
      <c r="C328" s="23">
        <v>46056.0</v>
      </c>
      <c r="D328" s="21" t="s">
        <v>268</v>
      </c>
    </row>
    <row r="329" ht="22.5" customHeight="1">
      <c r="A329" s="8" t="s">
        <v>692</v>
      </c>
      <c r="B329" s="98"/>
      <c r="C329" s="23">
        <v>46056.0</v>
      </c>
      <c r="D329" s="21" t="s">
        <v>268</v>
      </c>
    </row>
    <row r="330" ht="22.5" customHeight="1">
      <c r="A330" s="8" t="s">
        <v>693</v>
      </c>
      <c r="B330" s="98"/>
      <c r="C330" s="23">
        <v>46056.0</v>
      </c>
      <c r="D330" s="21"/>
    </row>
    <row r="331" ht="22.5" customHeight="1">
      <c r="A331" s="8" t="s">
        <v>694</v>
      </c>
      <c r="B331" s="98"/>
      <c r="C331" s="23">
        <v>46056.0</v>
      </c>
      <c r="D331" s="21"/>
    </row>
    <row r="332" ht="22.5" customHeight="1">
      <c r="A332" s="8" t="s">
        <v>695</v>
      </c>
      <c r="B332" s="98"/>
      <c r="C332" s="23">
        <v>46056.0</v>
      </c>
      <c r="D332" s="21"/>
    </row>
    <row r="333" ht="22.5" customHeight="1">
      <c r="A333" s="8" t="s">
        <v>696</v>
      </c>
      <c r="B333" s="98"/>
      <c r="C333" s="23">
        <v>46056.0</v>
      </c>
      <c r="D333" s="21"/>
    </row>
    <row r="334" ht="22.5" customHeight="1">
      <c r="A334" s="8" t="s">
        <v>697</v>
      </c>
      <c r="B334" s="98"/>
      <c r="C334" s="23">
        <v>46057.0</v>
      </c>
      <c r="D334" s="21"/>
    </row>
    <row r="335" ht="22.5" customHeight="1">
      <c r="A335" s="8" t="s">
        <v>698</v>
      </c>
      <c r="B335" s="98"/>
      <c r="C335" s="23">
        <v>46057.0</v>
      </c>
      <c r="D335" s="21"/>
    </row>
    <row r="336" ht="22.5" customHeight="1">
      <c r="A336" s="8" t="s">
        <v>699</v>
      </c>
      <c r="B336" s="98"/>
      <c r="C336" s="23">
        <v>46057.0</v>
      </c>
      <c r="D336" s="21"/>
    </row>
    <row r="337" ht="22.5" customHeight="1">
      <c r="A337" s="8" t="s">
        <v>700</v>
      </c>
      <c r="B337" s="98"/>
      <c r="C337" s="23">
        <v>46057.0</v>
      </c>
      <c r="D337" s="21"/>
    </row>
    <row r="338" ht="22.5" customHeight="1">
      <c r="A338" s="8" t="s">
        <v>701</v>
      </c>
      <c r="B338" s="98"/>
      <c r="C338" s="23">
        <v>46057.0</v>
      </c>
      <c r="D338" s="21"/>
    </row>
    <row r="339" ht="22.5" customHeight="1">
      <c r="A339" s="8" t="s">
        <v>702</v>
      </c>
      <c r="B339" s="98"/>
      <c r="C339" s="23">
        <v>46057.0</v>
      </c>
      <c r="D339" s="21"/>
    </row>
    <row r="340" ht="22.5" customHeight="1">
      <c r="A340" s="8" t="s">
        <v>703</v>
      </c>
      <c r="B340" s="98"/>
      <c r="C340" s="23">
        <v>46057.0</v>
      </c>
      <c r="D340" s="21" t="s">
        <v>268</v>
      </c>
    </row>
    <row r="341" ht="22.5" customHeight="1">
      <c r="A341" s="8" t="s">
        <v>704</v>
      </c>
      <c r="B341" s="98"/>
      <c r="C341" s="23">
        <v>46057.0</v>
      </c>
      <c r="D341" s="21"/>
    </row>
    <row r="342" ht="22.5" customHeight="1">
      <c r="A342" s="8" t="s">
        <v>705</v>
      </c>
      <c r="B342" s="98"/>
      <c r="C342" s="23">
        <v>46057.0</v>
      </c>
      <c r="D342" s="21" t="s">
        <v>268</v>
      </c>
    </row>
    <row r="343" ht="22.5" customHeight="1">
      <c r="A343" s="8" t="s">
        <v>706</v>
      </c>
      <c r="B343" s="98"/>
      <c r="C343" s="23">
        <v>46058.0</v>
      </c>
      <c r="D343" s="21"/>
    </row>
    <row r="344" ht="22.5" customHeight="1">
      <c r="A344" s="8" t="s">
        <v>707</v>
      </c>
      <c r="B344" s="98"/>
      <c r="C344" s="23">
        <v>46058.0</v>
      </c>
      <c r="D344" s="21"/>
    </row>
    <row r="345" ht="22.5" customHeight="1">
      <c r="A345" s="8" t="s">
        <v>708</v>
      </c>
      <c r="B345" s="98"/>
      <c r="C345" s="23">
        <v>46059.0</v>
      </c>
      <c r="D345" s="21" t="s">
        <v>268</v>
      </c>
    </row>
    <row r="346" ht="22.5" customHeight="1">
      <c r="A346" s="90" t="s">
        <v>709</v>
      </c>
      <c r="B346" s="98"/>
      <c r="C346" s="23">
        <v>46059.0</v>
      </c>
      <c r="D346" s="21"/>
    </row>
    <row r="347" ht="22.5" customHeight="1">
      <c r="A347" s="8" t="s">
        <v>710</v>
      </c>
      <c r="B347" s="98"/>
      <c r="C347" s="23">
        <v>46064.0</v>
      </c>
      <c r="D347" s="21"/>
    </row>
    <row r="348" ht="22.5" customHeight="1">
      <c r="A348" s="8" t="s">
        <v>711</v>
      </c>
      <c r="B348" s="98"/>
      <c r="C348" s="23">
        <v>46064.0</v>
      </c>
      <c r="D348" s="21"/>
    </row>
    <row r="349" ht="22.5" customHeight="1">
      <c r="A349" s="90" t="s">
        <v>120</v>
      </c>
      <c r="B349" s="98"/>
      <c r="C349" s="23">
        <v>46064.0</v>
      </c>
      <c r="D349" s="21"/>
    </row>
    <row r="350" ht="22.5" customHeight="1">
      <c r="A350" s="90" t="s">
        <v>123</v>
      </c>
      <c r="B350" s="98"/>
      <c r="C350" s="23">
        <v>46064.0</v>
      </c>
      <c r="D350" s="21"/>
    </row>
    <row r="351" ht="22.5" customHeight="1">
      <c r="A351" s="90" t="s">
        <v>712</v>
      </c>
      <c r="B351" s="98"/>
      <c r="C351" s="23">
        <v>46064.0</v>
      </c>
      <c r="D351" s="21"/>
    </row>
    <row r="352" ht="22.5" customHeight="1">
      <c r="A352" s="8" t="s">
        <v>713</v>
      </c>
      <c r="B352" s="98"/>
      <c r="C352" s="23">
        <v>46065.0</v>
      </c>
      <c r="D352" s="21" t="s">
        <v>714</v>
      </c>
    </row>
    <row r="353" ht="22.5" customHeight="1">
      <c r="A353" s="8" t="s">
        <v>715</v>
      </c>
      <c r="B353" s="98"/>
      <c r="C353" s="23">
        <v>46071.0</v>
      </c>
      <c r="D353" s="21" t="s">
        <v>259</v>
      </c>
    </row>
    <row r="354" ht="22.5" customHeight="1">
      <c r="A354" s="8" t="s">
        <v>43</v>
      </c>
      <c r="B354" s="98"/>
      <c r="C354" s="23">
        <v>46076.0</v>
      </c>
      <c r="D354" s="21" t="s">
        <v>259</v>
      </c>
    </row>
    <row r="355" ht="22.5" customHeight="1">
      <c r="A355" s="8" t="s">
        <v>716</v>
      </c>
      <c r="B355" s="98"/>
      <c r="C355" s="23">
        <v>46077.0</v>
      </c>
      <c r="D355" s="21"/>
    </row>
    <row r="356" ht="22.5" customHeight="1">
      <c r="A356" s="8" t="s">
        <v>717</v>
      </c>
      <c r="B356" s="98"/>
      <c r="C356" s="23">
        <v>46077.0</v>
      </c>
      <c r="D356" s="21"/>
    </row>
    <row r="357" ht="22.5" customHeight="1">
      <c r="A357" s="95" t="s">
        <v>718</v>
      </c>
      <c r="B357" s="98"/>
      <c r="C357" s="23">
        <v>46078.0</v>
      </c>
      <c r="D357" s="21"/>
    </row>
    <row r="358" ht="22.5" customHeight="1">
      <c r="A358" s="8" t="s">
        <v>719</v>
      </c>
      <c r="B358" s="98"/>
      <c r="C358" s="103">
        <v>46078.0</v>
      </c>
      <c r="D358" s="21" t="s">
        <v>259</v>
      </c>
    </row>
    <row r="359" ht="22.5" customHeight="1">
      <c r="A359" s="8" t="s">
        <v>720</v>
      </c>
      <c r="B359" s="98"/>
      <c r="C359" s="103">
        <v>46078.0</v>
      </c>
      <c r="D359" s="21" t="s">
        <v>259</v>
      </c>
    </row>
    <row r="360" ht="22.5" customHeight="1">
      <c r="A360" s="87" t="s">
        <v>721</v>
      </c>
      <c r="B360" s="98"/>
      <c r="C360" s="23">
        <v>46079.0</v>
      </c>
      <c r="D360" s="21" t="s">
        <v>714</v>
      </c>
    </row>
    <row r="361" ht="22.5" customHeight="1">
      <c r="A361" s="8" t="s">
        <v>722</v>
      </c>
      <c r="B361" s="98"/>
      <c r="C361" s="23">
        <v>46080.0</v>
      </c>
      <c r="D361" s="21"/>
    </row>
    <row r="362" ht="22.5" customHeight="1">
      <c r="A362" s="8" t="s">
        <v>723</v>
      </c>
      <c r="B362" s="98"/>
      <c r="C362" s="23">
        <v>46080.0</v>
      </c>
      <c r="D362" s="21"/>
    </row>
    <row r="363" ht="22.5" customHeight="1">
      <c r="A363" s="8" t="s">
        <v>724</v>
      </c>
      <c r="B363" s="98"/>
      <c r="C363" s="23">
        <v>46080.0</v>
      </c>
      <c r="D363" s="21"/>
    </row>
    <row r="364" ht="22.5" customHeight="1">
      <c r="A364" s="8" t="s">
        <v>725</v>
      </c>
      <c r="B364" s="98"/>
      <c r="C364" s="23">
        <v>46080.0</v>
      </c>
      <c r="D364" s="21"/>
    </row>
    <row r="365" ht="22.5" customHeight="1">
      <c r="A365" s="8" t="s">
        <v>726</v>
      </c>
      <c r="B365" s="98"/>
      <c r="C365" s="23">
        <v>46080.0</v>
      </c>
      <c r="D365" s="21"/>
    </row>
    <row r="366" ht="22.5" customHeight="1">
      <c r="A366" s="8" t="s">
        <v>727</v>
      </c>
      <c r="B366" s="98"/>
      <c r="C366" s="23">
        <v>46080.0</v>
      </c>
      <c r="D366" s="21"/>
    </row>
    <row r="367" ht="22.5" customHeight="1">
      <c r="A367" s="8" t="s">
        <v>728</v>
      </c>
      <c r="B367" s="98"/>
      <c r="C367" s="23">
        <v>46080.0</v>
      </c>
      <c r="D367" s="21"/>
    </row>
    <row r="368" ht="22.5" customHeight="1">
      <c r="A368" s="87" t="s">
        <v>729</v>
      </c>
      <c r="B368" s="98"/>
      <c r="C368" s="23">
        <v>46080.0</v>
      </c>
      <c r="D368" s="21"/>
    </row>
    <row r="369" ht="22.5" customHeight="1">
      <c r="A369" s="8" t="s">
        <v>683</v>
      </c>
      <c r="B369" s="98"/>
      <c r="C369" s="23">
        <v>46080.0</v>
      </c>
      <c r="D369" s="21"/>
    </row>
    <row r="370" ht="22.5" customHeight="1">
      <c r="A370" s="8" t="s">
        <v>730</v>
      </c>
      <c r="B370" s="98"/>
      <c r="C370" s="23">
        <v>46056.0</v>
      </c>
      <c r="D370" s="21"/>
    </row>
    <row r="371" ht="22.5" customHeight="1">
      <c r="A371" s="8" t="s">
        <v>731</v>
      </c>
      <c r="B371" s="98"/>
      <c r="C371" s="23">
        <v>46056.0</v>
      </c>
      <c r="D371" s="21"/>
    </row>
    <row r="372" ht="22.5" customHeight="1">
      <c r="A372" s="8" t="s">
        <v>732</v>
      </c>
      <c r="B372" s="98"/>
      <c r="C372" s="23">
        <v>46056.0</v>
      </c>
      <c r="D372" s="21"/>
    </row>
    <row r="373" ht="22.5" customHeight="1">
      <c r="A373" s="8" t="s">
        <v>733</v>
      </c>
      <c r="B373" s="98"/>
      <c r="C373" s="23">
        <v>46086.0</v>
      </c>
      <c r="D373" s="21"/>
    </row>
    <row r="374" ht="22.5" customHeight="1">
      <c r="A374" s="8" t="s">
        <v>734</v>
      </c>
      <c r="B374" s="98"/>
      <c r="C374" s="23">
        <v>46086.0</v>
      </c>
      <c r="D374" s="21"/>
    </row>
    <row r="375" ht="22.5" customHeight="1">
      <c r="A375" s="8" t="s">
        <v>735</v>
      </c>
      <c r="B375" s="98"/>
      <c r="C375" s="23">
        <v>46086.0</v>
      </c>
      <c r="D375" s="21"/>
    </row>
    <row r="376" ht="22.5" customHeight="1">
      <c r="A376" s="8" t="s">
        <v>736</v>
      </c>
      <c r="B376" s="98"/>
      <c r="C376" s="23">
        <v>46086.0</v>
      </c>
      <c r="D376" s="21"/>
    </row>
    <row r="377" ht="22.5" customHeight="1">
      <c r="A377" s="8" t="s">
        <v>737</v>
      </c>
      <c r="B377" s="98"/>
      <c r="C377" s="23">
        <v>46086.0</v>
      </c>
      <c r="D377" s="21"/>
    </row>
    <row r="378" ht="22.5" customHeight="1">
      <c r="A378" s="8" t="s">
        <v>738</v>
      </c>
      <c r="B378" s="98"/>
      <c r="C378" s="23">
        <v>46086.0</v>
      </c>
      <c r="D378" s="21"/>
    </row>
    <row r="379" ht="22.5" customHeight="1">
      <c r="A379" s="8" t="s">
        <v>739</v>
      </c>
      <c r="B379" s="98"/>
      <c r="C379" s="23">
        <v>46086.0</v>
      </c>
      <c r="D379" s="21"/>
    </row>
    <row r="380" ht="22.5" customHeight="1">
      <c r="A380" s="8" t="s">
        <v>740</v>
      </c>
      <c r="B380" s="98"/>
      <c r="C380" s="23">
        <v>46086.0</v>
      </c>
      <c r="D380" s="21"/>
    </row>
    <row r="381" ht="22.5" customHeight="1">
      <c r="A381" s="90" t="s">
        <v>741</v>
      </c>
      <c r="B381" s="98"/>
      <c r="C381" s="23">
        <v>46086.0</v>
      </c>
      <c r="D381" s="21"/>
    </row>
    <row r="382" ht="22.5" customHeight="1">
      <c r="A382" s="8" t="s">
        <v>742</v>
      </c>
      <c r="B382" s="98"/>
      <c r="C382" s="23">
        <v>46087.0</v>
      </c>
      <c r="D382" s="21"/>
    </row>
    <row r="383" ht="22.5" customHeight="1">
      <c r="A383" s="8" t="s">
        <v>743</v>
      </c>
      <c r="B383" s="98"/>
      <c r="C383" s="23">
        <v>46087.0</v>
      </c>
      <c r="D383" s="21"/>
    </row>
    <row r="384" ht="22.5" customHeight="1">
      <c r="A384" s="8" t="s">
        <v>744</v>
      </c>
      <c r="B384" s="98"/>
      <c r="C384" s="23">
        <v>46090.0</v>
      </c>
      <c r="D384" s="21"/>
    </row>
    <row r="385" ht="22.5" customHeight="1">
      <c r="A385" s="8" t="s">
        <v>745</v>
      </c>
      <c r="B385" s="98"/>
      <c r="C385" s="23">
        <v>46090.0</v>
      </c>
      <c r="D385" s="21"/>
    </row>
    <row r="386" ht="22.5" customHeight="1">
      <c r="A386" s="8" t="s">
        <v>746</v>
      </c>
      <c r="B386" s="98"/>
      <c r="C386" s="23">
        <v>46091.0</v>
      </c>
      <c r="D386" s="21"/>
    </row>
    <row r="387" ht="22.5" customHeight="1">
      <c r="A387" s="8" t="s">
        <v>747</v>
      </c>
      <c r="B387" s="98"/>
      <c r="C387" s="23">
        <v>46091.0</v>
      </c>
      <c r="D387" s="21"/>
    </row>
    <row r="388" ht="22.5" customHeight="1">
      <c r="A388" s="8" t="s">
        <v>748</v>
      </c>
      <c r="B388" s="98"/>
      <c r="C388" s="23">
        <v>46093.0</v>
      </c>
      <c r="D388" s="21"/>
    </row>
    <row r="389" ht="22.5" customHeight="1">
      <c r="A389" s="8" t="s">
        <v>749</v>
      </c>
      <c r="B389" s="98"/>
      <c r="C389" s="23">
        <v>46093.0</v>
      </c>
      <c r="D389" s="21"/>
    </row>
    <row r="390" ht="22.5" customHeight="1">
      <c r="A390" s="8" t="s">
        <v>750</v>
      </c>
      <c r="B390" s="98"/>
      <c r="C390" s="23">
        <v>46093.0</v>
      </c>
      <c r="D390" s="21"/>
    </row>
    <row r="391" ht="22.5" customHeight="1">
      <c r="A391" s="8" t="s">
        <v>751</v>
      </c>
      <c r="B391" s="98"/>
      <c r="C391" s="23">
        <v>46093.0</v>
      </c>
      <c r="D391" s="21"/>
    </row>
    <row r="392" ht="22.5" customHeight="1">
      <c r="A392" s="8" t="s">
        <v>752</v>
      </c>
      <c r="B392" s="98"/>
      <c r="C392" s="23">
        <v>46093.0</v>
      </c>
      <c r="D392" s="21"/>
    </row>
    <row r="393" ht="22.5" customHeight="1">
      <c r="A393" s="8" t="s">
        <v>753</v>
      </c>
      <c r="B393" s="98"/>
      <c r="C393" s="23">
        <v>46093.0</v>
      </c>
      <c r="D393" s="21"/>
    </row>
    <row r="394" ht="22.5" customHeight="1">
      <c r="A394" s="8" t="s">
        <v>754</v>
      </c>
      <c r="B394" s="98"/>
      <c r="C394" s="23">
        <v>46093.0</v>
      </c>
      <c r="D394" s="21"/>
    </row>
    <row r="395" ht="22.5" customHeight="1">
      <c r="A395" s="8" t="s">
        <v>755</v>
      </c>
      <c r="B395" s="98"/>
      <c r="C395" s="23">
        <v>46093.0</v>
      </c>
      <c r="D395" s="21"/>
    </row>
    <row r="396" ht="22.5" customHeight="1">
      <c r="A396" s="8" t="s">
        <v>748</v>
      </c>
      <c r="B396" s="98"/>
      <c r="C396" s="23">
        <v>46093.0</v>
      </c>
      <c r="D396" s="21"/>
    </row>
    <row r="397" ht="22.5" customHeight="1">
      <c r="A397" s="8" t="s">
        <v>749</v>
      </c>
      <c r="B397" s="98"/>
      <c r="C397" s="23">
        <v>46093.0</v>
      </c>
      <c r="D397" s="21"/>
    </row>
    <row r="398" ht="22.5" customHeight="1">
      <c r="A398" s="8" t="s">
        <v>750</v>
      </c>
      <c r="B398" s="98"/>
      <c r="C398" s="23">
        <v>46093.0</v>
      </c>
      <c r="D398" s="21"/>
    </row>
    <row r="399" ht="22.5" customHeight="1">
      <c r="A399" s="8" t="s">
        <v>751</v>
      </c>
      <c r="B399" s="98"/>
      <c r="C399" s="23">
        <v>46093.0</v>
      </c>
      <c r="D399" s="21"/>
    </row>
    <row r="400" ht="22.5" customHeight="1">
      <c r="A400" s="8" t="s">
        <v>752</v>
      </c>
      <c r="B400" s="98"/>
      <c r="C400" s="23">
        <v>46093.0</v>
      </c>
      <c r="D400" s="21"/>
    </row>
    <row r="401" ht="22.5" customHeight="1">
      <c r="A401" s="8" t="s">
        <v>753</v>
      </c>
      <c r="B401" s="98"/>
      <c r="C401" s="23">
        <v>46093.0</v>
      </c>
      <c r="D401" s="21"/>
    </row>
    <row r="402" ht="22.5" customHeight="1">
      <c r="A402" s="8" t="s">
        <v>754</v>
      </c>
      <c r="B402" s="98"/>
      <c r="C402" s="23">
        <v>46093.0</v>
      </c>
      <c r="D402" s="21"/>
    </row>
    <row r="403" ht="22.5" customHeight="1">
      <c r="A403" s="8" t="s">
        <v>755</v>
      </c>
      <c r="B403" s="98"/>
      <c r="C403" s="23">
        <v>46093.0</v>
      </c>
      <c r="D403" s="21"/>
    </row>
    <row r="404" ht="22.5" customHeight="1">
      <c r="A404" s="8" t="s">
        <v>756</v>
      </c>
      <c r="B404" s="98"/>
      <c r="C404" s="23">
        <v>46094.0</v>
      </c>
      <c r="D404" s="21"/>
    </row>
    <row r="405" ht="22.5" customHeight="1">
      <c r="A405" s="8" t="s">
        <v>757</v>
      </c>
      <c r="B405" s="98"/>
      <c r="C405" s="23">
        <v>46094.0</v>
      </c>
      <c r="D405" s="21"/>
    </row>
    <row r="406" ht="22.5" customHeight="1">
      <c r="A406" s="8" t="s">
        <v>758</v>
      </c>
      <c r="B406" s="98"/>
      <c r="C406" s="23">
        <v>46094.0</v>
      </c>
      <c r="D406" s="21"/>
    </row>
    <row r="407" ht="22.5" customHeight="1">
      <c r="A407" s="8" t="s">
        <v>759</v>
      </c>
      <c r="B407" s="98"/>
      <c r="C407" s="23">
        <v>46094.0</v>
      </c>
      <c r="D407" s="21"/>
    </row>
    <row r="408" ht="22.5" customHeight="1">
      <c r="A408" s="90" t="s">
        <v>760</v>
      </c>
      <c r="B408" s="98"/>
      <c r="C408" s="23">
        <v>46094.0</v>
      </c>
      <c r="D408" s="21"/>
    </row>
    <row r="409" ht="22.5" customHeight="1">
      <c r="A409" s="90" t="s">
        <v>761</v>
      </c>
      <c r="B409" s="98"/>
      <c r="C409" s="23">
        <v>46094.0</v>
      </c>
      <c r="D409" s="21"/>
    </row>
    <row r="410" ht="22.5" customHeight="1">
      <c r="A410" s="8" t="s">
        <v>762</v>
      </c>
      <c r="B410" s="98"/>
      <c r="C410" s="23">
        <v>46098.0</v>
      </c>
      <c r="D410" s="21" t="s">
        <v>268</v>
      </c>
    </row>
    <row r="411" ht="22.5" customHeight="1">
      <c r="A411" s="8" t="s">
        <v>763</v>
      </c>
      <c r="B411" s="98"/>
      <c r="C411" s="23">
        <v>46098.0</v>
      </c>
      <c r="D411" s="21" t="s">
        <v>268</v>
      </c>
    </row>
    <row r="412" ht="22.5" customHeight="1">
      <c r="A412" s="8" t="s">
        <v>764</v>
      </c>
      <c r="B412" s="98"/>
      <c r="C412" s="23">
        <v>46098.0</v>
      </c>
      <c r="D412" s="21" t="s">
        <v>268</v>
      </c>
    </row>
    <row r="413" ht="22.5" customHeight="1">
      <c r="A413" s="8" t="s">
        <v>765</v>
      </c>
      <c r="B413" s="98"/>
      <c r="C413" s="23">
        <v>46098.0</v>
      </c>
      <c r="D413" s="21" t="s">
        <v>268</v>
      </c>
    </row>
    <row r="414" ht="22.5" customHeight="1">
      <c r="A414" s="8" t="s">
        <v>766</v>
      </c>
      <c r="B414" s="98"/>
      <c r="C414" s="23">
        <v>46100.0</v>
      </c>
      <c r="D414" s="21"/>
    </row>
    <row r="415" ht="22.5" customHeight="1">
      <c r="A415" s="8" t="s">
        <v>767</v>
      </c>
      <c r="B415" s="98"/>
      <c r="C415" s="23">
        <v>46100.0</v>
      </c>
      <c r="D415" s="21"/>
    </row>
    <row r="416" ht="22.5" customHeight="1">
      <c r="A416" s="90" t="s">
        <v>768</v>
      </c>
      <c r="B416" s="98"/>
      <c r="C416" s="23">
        <v>46100.0</v>
      </c>
      <c r="D416" s="21"/>
    </row>
    <row r="417" ht="22.5" customHeight="1">
      <c r="A417" s="90" t="s">
        <v>769</v>
      </c>
      <c r="B417" s="98"/>
      <c r="C417" s="23">
        <v>46100.0</v>
      </c>
      <c r="D417" s="21"/>
    </row>
    <row r="418" ht="22.5" customHeight="1">
      <c r="A418" s="90" t="s">
        <v>235</v>
      </c>
      <c r="B418" s="98"/>
      <c r="C418" s="23">
        <v>46100.0</v>
      </c>
      <c r="D418" s="21"/>
    </row>
    <row r="419" ht="22.5" customHeight="1">
      <c r="A419" s="90" t="s">
        <v>770</v>
      </c>
      <c r="B419" s="98"/>
      <c r="C419" s="23">
        <v>46100.0</v>
      </c>
      <c r="D419" s="21"/>
    </row>
    <row r="420" ht="22.5" customHeight="1">
      <c r="A420" s="90" t="s">
        <v>236</v>
      </c>
      <c r="B420" s="98"/>
      <c r="C420" s="23">
        <v>46100.0</v>
      </c>
      <c r="D420" s="21"/>
    </row>
    <row r="421" ht="22.5" customHeight="1">
      <c r="A421" s="90" t="s">
        <v>771</v>
      </c>
      <c r="B421" s="98"/>
      <c r="C421" s="23">
        <v>46105.0</v>
      </c>
      <c r="D421" s="21" t="s">
        <v>259</v>
      </c>
    </row>
    <row r="422" ht="22.5" customHeight="1">
      <c r="A422" s="90" t="s">
        <v>237</v>
      </c>
      <c r="B422" s="98"/>
      <c r="C422" s="23">
        <v>46105.0</v>
      </c>
      <c r="D422" s="21" t="s">
        <v>259</v>
      </c>
    </row>
    <row r="423" ht="22.5" customHeight="1">
      <c r="A423" s="90" t="s">
        <v>772</v>
      </c>
      <c r="B423" s="98"/>
      <c r="C423" s="23">
        <v>46105.0</v>
      </c>
      <c r="D423" s="21" t="s">
        <v>259</v>
      </c>
    </row>
    <row r="424" ht="22.5" customHeight="1">
      <c r="A424" s="90" t="s">
        <v>773</v>
      </c>
      <c r="B424" s="98"/>
      <c r="C424" s="23">
        <v>46105.0</v>
      </c>
      <c r="D424" s="21" t="s">
        <v>259</v>
      </c>
    </row>
    <row r="425" ht="22.5" customHeight="1">
      <c r="A425" s="90" t="s">
        <v>227</v>
      </c>
      <c r="B425" s="98"/>
      <c r="C425" s="23">
        <v>46105.0</v>
      </c>
      <c r="D425" s="21" t="s">
        <v>259</v>
      </c>
    </row>
    <row r="426" ht="22.5" customHeight="1">
      <c r="A426" s="8" t="s">
        <v>774</v>
      </c>
      <c r="B426" s="98"/>
      <c r="C426" s="23">
        <v>46106.0</v>
      </c>
      <c r="D426" s="21" t="s">
        <v>259</v>
      </c>
    </row>
    <row r="427" ht="22.5" customHeight="1">
      <c r="A427" s="86" t="s">
        <v>775</v>
      </c>
      <c r="B427" s="98"/>
      <c r="C427" s="23">
        <v>46108.0</v>
      </c>
      <c r="D427" s="21"/>
    </row>
    <row r="428" ht="22.5" customHeight="1">
      <c r="A428" s="90" t="s">
        <v>776</v>
      </c>
      <c r="B428" s="98"/>
      <c r="C428" s="23">
        <v>46108.0</v>
      </c>
      <c r="D428" s="21"/>
    </row>
    <row r="429" ht="22.5" customHeight="1">
      <c r="A429" s="90" t="s">
        <v>777</v>
      </c>
      <c r="B429" s="98"/>
      <c r="C429" s="23">
        <v>46108.0</v>
      </c>
      <c r="D429" s="21"/>
    </row>
    <row r="430" ht="22.5" customHeight="1">
      <c r="A430" s="90" t="s">
        <v>778</v>
      </c>
      <c r="B430" s="98"/>
      <c r="C430" s="23">
        <v>46108.0</v>
      </c>
      <c r="D430" s="21"/>
    </row>
    <row r="431" ht="22.5" customHeight="1">
      <c r="A431" s="90" t="s">
        <v>779</v>
      </c>
      <c r="B431" s="98"/>
      <c r="C431" s="23">
        <v>46111.0</v>
      </c>
      <c r="D431" s="21"/>
    </row>
    <row r="432" ht="22.5" customHeight="1">
      <c r="A432" s="8" t="s">
        <v>780</v>
      </c>
      <c r="B432" s="98"/>
      <c r="C432" s="23">
        <v>46111.0</v>
      </c>
      <c r="D432" s="21" t="s">
        <v>781</v>
      </c>
    </row>
    <row r="433" ht="22.5" customHeight="1">
      <c r="A433" s="8" t="s">
        <v>782</v>
      </c>
      <c r="B433" s="98"/>
      <c r="C433" s="23">
        <v>46114.0</v>
      </c>
      <c r="D433" s="21"/>
    </row>
    <row r="434" ht="22.5" customHeight="1">
      <c r="A434" s="8" t="s">
        <v>783</v>
      </c>
      <c r="B434" s="98"/>
      <c r="C434" s="23">
        <v>46114.0</v>
      </c>
      <c r="D434" s="21"/>
    </row>
    <row r="435" ht="22.5" customHeight="1">
      <c r="A435" s="95" t="s">
        <v>784</v>
      </c>
      <c r="B435" s="98"/>
      <c r="C435" s="23">
        <v>46114.0</v>
      </c>
      <c r="D435" s="21"/>
    </row>
    <row r="436" ht="22.5" customHeight="1">
      <c r="A436" s="8" t="s">
        <v>785</v>
      </c>
      <c r="B436" s="98"/>
      <c r="C436" s="23">
        <v>46118.0</v>
      </c>
      <c r="D436" s="21" t="s">
        <v>786</v>
      </c>
    </row>
    <row r="437" ht="22.5" customHeight="1">
      <c r="A437" s="8" t="s">
        <v>787</v>
      </c>
      <c r="B437" s="98"/>
      <c r="C437" s="23">
        <v>46118.0</v>
      </c>
      <c r="D437" s="21" t="s">
        <v>786</v>
      </c>
    </row>
    <row r="438" ht="22.5" customHeight="1">
      <c r="A438" s="91" t="s">
        <v>788</v>
      </c>
      <c r="B438" s="98"/>
      <c r="C438" s="23">
        <v>46118.0</v>
      </c>
      <c r="D438" s="21" t="s">
        <v>786</v>
      </c>
    </row>
    <row r="439" ht="22.5" customHeight="1">
      <c r="A439" s="8" t="s">
        <v>789</v>
      </c>
      <c r="B439" s="98"/>
      <c r="C439" s="23">
        <v>46118.0</v>
      </c>
      <c r="D439" s="21" t="s">
        <v>786</v>
      </c>
    </row>
    <row r="440" ht="22.5" customHeight="1">
      <c r="A440" s="8" t="s">
        <v>790</v>
      </c>
      <c r="B440" s="98"/>
      <c r="C440" s="23">
        <v>46118.0</v>
      </c>
      <c r="D440" s="21" t="s">
        <v>786</v>
      </c>
    </row>
    <row r="441" ht="22.5" customHeight="1">
      <c r="A441" s="8" t="s">
        <v>791</v>
      </c>
      <c r="B441" s="98"/>
      <c r="C441" s="23">
        <v>46118.0</v>
      </c>
      <c r="D441" s="21"/>
    </row>
    <row r="442" ht="22.5" customHeight="1">
      <c r="A442" s="8" t="s">
        <v>792</v>
      </c>
      <c r="B442" s="98"/>
      <c r="C442" s="23">
        <v>46120.0</v>
      </c>
      <c r="D442" s="21"/>
    </row>
    <row r="443" ht="22.5" customHeight="1">
      <c r="A443" s="8" t="s">
        <v>793</v>
      </c>
      <c r="B443" s="98"/>
      <c r="C443" s="23">
        <v>46120.0</v>
      </c>
      <c r="D443" s="21"/>
    </row>
    <row r="444" ht="22.5" customHeight="1">
      <c r="A444" s="8" t="s">
        <v>794</v>
      </c>
      <c r="B444" s="98"/>
      <c r="C444" s="23">
        <v>46120.0</v>
      </c>
      <c r="D444" s="21"/>
    </row>
    <row r="445" ht="22.5" customHeight="1">
      <c r="A445" s="8" t="s">
        <v>795</v>
      </c>
      <c r="B445" s="98"/>
      <c r="C445" s="23">
        <v>46120.0</v>
      </c>
      <c r="D445" s="21"/>
    </row>
    <row r="446" ht="22.5" customHeight="1">
      <c r="A446" s="8" t="s">
        <v>796</v>
      </c>
      <c r="B446" s="98"/>
      <c r="C446" s="23">
        <v>46120.0</v>
      </c>
      <c r="D446" s="21"/>
    </row>
    <row r="447" ht="22.5" customHeight="1">
      <c r="A447" s="8" t="s">
        <v>797</v>
      </c>
      <c r="B447" s="98"/>
      <c r="C447" s="23">
        <v>46120.0</v>
      </c>
      <c r="D447" s="21"/>
    </row>
    <row r="448" ht="22.5" customHeight="1">
      <c r="A448" s="8" t="s">
        <v>798</v>
      </c>
      <c r="B448" s="98"/>
      <c r="C448" s="23">
        <v>46122.0</v>
      </c>
      <c r="D448" s="21"/>
    </row>
    <row r="449" ht="22.5" customHeight="1">
      <c r="A449" s="8" t="s">
        <v>799</v>
      </c>
      <c r="B449" s="98"/>
      <c r="C449" s="23">
        <v>46122.0</v>
      </c>
      <c r="D449" s="21"/>
    </row>
    <row r="450" ht="22.5" customHeight="1">
      <c r="A450" s="8" t="s">
        <v>800</v>
      </c>
      <c r="B450" s="98"/>
      <c r="C450" s="23">
        <v>46122.0</v>
      </c>
      <c r="D450" s="21"/>
    </row>
    <row r="451" ht="22.5" customHeight="1">
      <c r="A451" s="8" t="s">
        <v>801</v>
      </c>
      <c r="B451" s="98"/>
      <c r="C451" s="23">
        <v>46122.0</v>
      </c>
      <c r="D451" s="21"/>
    </row>
    <row r="452" ht="22.5" customHeight="1">
      <c r="A452" s="8" t="s">
        <v>802</v>
      </c>
      <c r="B452" s="98"/>
      <c r="C452" s="23">
        <v>46122.0</v>
      </c>
      <c r="D452" s="21"/>
    </row>
    <row r="453" ht="22.5" customHeight="1">
      <c r="A453" s="8" t="s">
        <v>803</v>
      </c>
      <c r="B453" s="98"/>
      <c r="C453" s="23">
        <v>46125.0</v>
      </c>
      <c r="D453" s="21"/>
    </row>
    <row r="454" ht="22.5" customHeight="1">
      <c r="A454" s="100" t="s">
        <v>804</v>
      </c>
      <c r="B454" s="98"/>
      <c r="C454" s="23">
        <v>46126.0</v>
      </c>
      <c r="D454" s="21" t="s">
        <v>805</v>
      </c>
    </row>
    <row r="455" ht="22.5" customHeight="1">
      <c r="A455" s="8" t="s">
        <v>806</v>
      </c>
      <c r="B455" s="98"/>
      <c r="C455" s="23">
        <v>46127.0</v>
      </c>
      <c r="D455" s="21"/>
    </row>
    <row r="456" ht="22.5" customHeight="1">
      <c r="A456" s="8" t="s">
        <v>807</v>
      </c>
      <c r="B456" s="98"/>
      <c r="C456" s="23">
        <v>46128.0</v>
      </c>
      <c r="D456" s="21"/>
    </row>
    <row r="457" ht="22.5" customHeight="1">
      <c r="A457" s="8" t="s">
        <v>808</v>
      </c>
      <c r="B457" s="98"/>
      <c r="C457" s="23">
        <v>46128.0</v>
      </c>
      <c r="D457" s="21" t="s">
        <v>268</v>
      </c>
    </row>
    <row r="458" ht="22.5" customHeight="1">
      <c r="A458" s="8" t="s">
        <v>809</v>
      </c>
      <c r="B458" s="98"/>
      <c r="C458" s="23">
        <v>46128.0</v>
      </c>
      <c r="D458" s="21" t="s">
        <v>268</v>
      </c>
    </row>
    <row r="459" ht="22.5" customHeight="1">
      <c r="A459" s="8" t="s">
        <v>810</v>
      </c>
      <c r="B459" s="98"/>
      <c r="C459" s="23">
        <v>46128.0</v>
      </c>
      <c r="D459" s="21" t="s">
        <v>268</v>
      </c>
    </row>
    <row r="460" ht="22.5" customHeight="1">
      <c r="A460" s="8" t="s">
        <v>811</v>
      </c>
      <c r="B460" s="98"/>
      <c r="C460" s="23">
        <v>46128.0</v>
      </c>
      <c r="D460" s="21" t="s">
        <v>268</v>
      </c>
    </row>
    <row r="461" ht="22.5" customHeight="1">
      <c r="A461" s="8" t="s">
        <v>812</v>
      </c>
      <c r="B461" s="98"/>
      <c r="C461" s="23">
        <v>46128.0</v>
      </c>
      <c r="D461" s="21" t="s">
        <v>268</v>
      </c>
    </row>
    <row r="462" ht="22.5" customHeight="1">
      <c r="A462" s="8" t="s">
        <v>813</v>
      </c>
      <c r="B462" s="98"/>
      <c r="C462" s="23">
        <v>46128.0</v>
      </c>
      <c r="D462" s="21"/>
    </row>
    <row r="463" ht="22.5" customHeight="1">
      <c r="A463" s="8" t="s">
        <v>814</v>
      </c>
      <c r="B463" s="98"/>
      <c r="C463" s="23">
        <v>46128.0</v>
      </c>
      <c r="D463" s="21" t="s">
        <v>268</v>
      </c>
    </row>
    <row r="464" ht="22.5" customHeight="1">
      <c r="A464" s="8" t="s">
        <v>815</v>
      </c>
      <c r="B464" s="98"/>
      <c r="C464" s="23">
        <v>46128.0</v>
      </c>
      <c r="D464" s="21" t="s">
        <v>268</v>
      </c>
    </row>
    <row r="465" ht="22.5" customHeight="1">
      <c r="A465" s="8" t="s">
        <v>816</v>
      </c>
      <c r="B465" s="98"/>
      <c r="C465" s="23">
        <v>46128.0</v>
      </c>
      <c r="D465" s="21" t="s">
        <v>268</v>
      </c>
    </row>
    <row r="466" ht="22.5" customHeight="1">
      <c r="A466" s="8" t="s">
        <v>706</v>
      </c>
      <c r="B466" s="98"/>
      <c r="C466" s="23">
        <v>46128.0</v>
      </c>
      <c r="D466" s="21" t="s">
        <v>268</v>
      </c>
    </row>
    <row r="467" ht="22.5" customHeight="1">
      <c r="A467" s="8" t="s">
        <v>817</v>
      </c>
      <c r="B467" s="98"/>
      <c r="C467" s="23">
        <v>46128.0</v>
      </c>
      <c r="D467" s="21" t="s">
        <v>268</v>
      </c>
    </row>
  </sheetData>
  <dataValidations>
    <dataValidation type="custom" allowBlank="1" showDropDown="1" sqref="C2:C467">
      <formula1>OR(NOT(ISERROR(DATEVALUE(C2))), AND(ISNUMBER(C2), LEFT(CELL("format", C2))="D"))</formula1>
    </dataValidation>
    <dataValidation allowBlank="1" showDropDown="1" sqref="A2:B467 D2:D467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13"/>
    <col customWidth="1" min="3" max="3" width="31.0"/>
    <col customWidth="1" min="4" max="4" width="25.5"/>
    <col customWidth="1" min="5" max="5" width="17.38"/>
    <col customWidth="1" min="6" max="6" width="20.13"/>
    <col customWidth="1" min="7" max="7" width="48.5"/>
    <col customWidth="1" min="8" max="9" width="22.88"/>
  </cols>
  <sheetData>
    <row r="1" ht="22.5" customHeight="1">
      <c r="A1" s="3" t="s">
        <v>808</v>
      </c>
      <c r="B1" s="3" t="s">
        <v>1</v>
      </c>
      <c r="C1" s="3" t="s">
        <v>2</v>
      </c>
      <c r="D1" s="3" t="s">
        <v>818</v>
      </c>
      <c r="E1" s="3" t="s">
        <v>3</v>
      </c>
      <c r="F1" s="3" t="s">
        <v>4</v>
      </c>
      <c r="G1" s="3" t="s">
        <v>819</v>
      </c>
      <c r="H1" s="3" t="s">
        <v>820</v>
      </c>
      <c r="I1" s="3" t="s">
        <v>21</v>
      </c>
    </row>
    <row r="2" ht="22.5" customHeight="1">
      <c r="A2" s="104" t="str">
        <f t="array" ref="A2">IFERROR(TEXT(INDEX(Base!E:E,MATCH(B2,Base!A:A,0)),"mm.dd.yyyy"),"mm.dd.yyyy")
</f>
        <v>mm.dd.yyyy</v>
      </c>
      <c r="B2" s="105" t="s">
        <v>687</v>
      </c>
      <c r="C2" s="106" t="str">
        <f t="array" ref="C2">IFERROR(INDEX(Base!I:I,MATCH(B2,Base!A:A,0)),"Nome do Cliente")
</f>
        <v>Nome do Cliente</v>
      </c>
      <c r="D2" s="10" t="str">
        <f t="array" ref="D2">IFERROR(INDEX(Base!F:F,MATCH(B2,Base!A:A,0)),"Tipo do serv.")
</f>
        <v>Tipo do serv.</v>
      </c>
      <c r="E2" s="10" t="str">
        <f t="array" ref="E2">IFERROR(INDEX(Base!G:G,MATCH(B2,Base!A:A,0)),"Modelo da Cond.")</f>
        <v>Modelo da Cond.</v>
      </c>
      <c r="F2" s="10" t="str">
        <f t="array" ref="F2">IFERROR(INDEX(Base!H:H,MATCH(B2,Base!A:A,0)),"N° Serial")</f>
        <v>N° Serial</v>
      </c>
      <c r="G2" s="21" t="s">
        <v>821</v>
      </c>
      <c r="H2" s="14" t="s">
        <v>24</v>
      </c>
      <c r="I2" s="21"/>
    </row>
    <row r="3" ht="22.5" customHeight="1">
      <c r="A3" s="104" t="str">
        <f t="array" ref="A3">IFERROR(TEXT(INDEX(Base!E:E,MATCH(B3,Base!A:A,0)),"mm.dd.yyyy"),"mm.dd.yyyy")
</f>
        <v>10.11.2025</v>
      </c>
      <c r="B3" s="105" t="s">
        <v>22</v>
      </c>
      <c r="C3" s="106" t="str">
        <f t="array" ref="C3">IFERROR(INDEX(Base!I:I,MATCH(B3,Base!A:A,0)),"Nome do Cliente")
</f>
        <v>MARIO GOMES DA SILVA</v>
      </c>
      <c r="D3" s="10" t="str">
        <f t="array" ref="D3">IFERROR(INDEX(Base!F:F,MATCH(B3,Base!A:A,0)),"Tipo do serv.")
</f>
        <v>Em Domicílio</v>
      </c>
      <c r="E3" s="10" t="str">
        <f t="array" ref="E3">IFERROR(INDEX(Base!G:G,MATCH(B3,Base!A:A,0)),"Modelo da Cond.")</f>
        <v>AC018DN1DKG/AZ</v>
      </c>
      <c r="F3" s="10" t="str">
        <f t="array" ref="F3">IFERROR(INDEX(Base!H:H,MATCH(B3,Base!A:A,0)),"N° Serial")</f>
        <v>0309PXAY700069B</v>
      </c>
      <c r="G3" s="21" t="s">
        <v>822</v>
      </c>
      <c r="H3" s="14" t="s">
        <v>23</v>
      </c>
      <c r="I3" s="21"/>
    </row>
    <row r="4" ht="22.5" customHeight="1">
      <c r="A4" s="104" t="str">
        <f t="array" ref="A4">IFERROR(TEXT(INDEX(Base!E:E,MATCH(B4,Base!A:A,0)),"mm.dd.yyyy"),"mm.dd.yyyy")
</f>
        <v>mm.dd.yyyy</v>
      </c>
      <c r="B4" s="105" t="s">
        <v>742</v>
      </c>
      <c r="C4" s="106" t="str">
        <f t="array" ref="C4">IFERROR(INDEX(Base!I:I,MATCH(B4,Base!A:A,0)),"Nome do Cliente")
</f>
        <v>Nome do Cliente</v>
      </c>
      <c r="D4" s="10" t="str">
        <f t="array" ref="D4">IFERROR(INDEX(Base!F:F,MATCH(B4,Base!A:A,0)),"Tipo do serv.")
</f>
        <v>Tipo do serv.</v>
      </c>
      <c r="E4" s="10" t="str">
        <f t="array" ref="E4">IFERROR(INDEX(Base!G:G,MATCH(B4,Base!A:A,0)),"Modelo da Cond.")</f>
        <v>Modelo da Cond.</v>
      </c>
      <c r="F4" s="10" t="str">
        <f t="array" ref="F4">IFERROR(INDEX(Base!H:H,MATCH(B4,Base!A:A,0)),"N° Serial")</f>
        <v>N° Serial</v>
      </c>
      <c r="G4" s="21" t="s">
        <v>823</v>
      </c>
      <c r="H4" s="14" t="s">
        <v>24</v>
      </c>
      <c r="I4" s="21"/>
    </row>
    <row r="5" ht="22.5" customHeight="1">
      <c r="A5" s="104" t="str">
        <f t="array" ref="A5">IFERROR(TEXT(INDEX(Base!E:E,MATCH(B5,Base!A:A,0)),"mm.dd.yyyy"),"mm.dd.yyyy")
</f>
        <v>mm.dd.yyyy</v>
      </c>
      <c r="B5" s="105" t="s">
        <v>804</v>
      </c>
      <c r="C5" s="106" t="str">
        <f t="array" ref="C5">IFERROR(INDEX(Base!I:I,MATCH(B5,Base!A:A,0)),"Nome do Cliente")
</f>
        <v>Nome do Cliente</v>
      </c>
      <c r="D5" s="10" t="str">
        <f t="array" ref="D5">IFERROR(INDEX(Base!F:F,MATCH(B5,Base!A:A,0)),"Tipo do serv.")
</f>
        <v>Tipo do serv.</v>
      </c>
      <c r="E5" s="10" t="str">
        <f t="array" ref="E5">IFERROR(INDEX(Base!G:G,MATCH(B5,Base!A:A,0)),"Modelo da Cond.")</f>
        <v>Modelo da Cond.</v>
      </c>
      <c r="F5" s="10" t="str">
        <f t="array" ref="F5">IFERROR(INDEX(Base!H:H,MATCH(B5,Base!A:A,0)),"N° Serial")</f>
        <v>N° Serial</v>
      </c>
      <c r="G5" s="21" t="s">
        <v>824</v>
      </c>
      <c r="H5" s="14" t="s">
        <v>24</v>
      </c>
      <c r="I5" s="21"/>
    </row>
    <row r="6" ht="22.5" customHeight="1">
      <c r="A6" s="104" t="str">
        <f t="array" ref="A6">IFERROR(TEXT(INDEX(Base!E:E,MATCH(B6,Base!A:A,0)),"mm.dd.yyyy"),"mm.dd.yyyy")
</f>
        <v>mm.dd.yyyy</v>
      </c>
      <c r="B6" s="105" t="s">
        <v>700</v>
      </c>
      <c r="C6" s="106" t="str">
        <f t="array" ref="C6">IFERROR(INDEX(Base!I:I,MATCH(B6,Base!A:A,0)),"Nome do Cliente")
</f>
        <v>Nome do Cliente</v>
      </c>
      <c r="D6" s="10" t="str">
        <f t="array" ref="D6">IFERROR(INDEX(Base!F:F,MATCH(B6,Base!A:A,0)),"Tipo do serv.")
</f>
        <v>Tipo do serv.</v>
      </c>
      <c r="E6" s="10" t="str">
        <f t="array" ref="E6">IFERROR(INDEX(Base!G:G,MATCH(B6,Base!A:A,0)),"Modelo da Cond.")</f>
        <v>Modelo da Cond.</v>
      </c>
      <c r="F6" s="10" t="str">
        <f t="array" ref="F6">IFERROR(INDEX(Base!H:H,MATCH(B6,Base!A:A,0)),"N° Serial")</f>
        <v>N° Serial</v>
      </c>
      <c r="G6" s="21" t="s">
        <v>825</v>
      </c>
      <c r="H6" s="14" t="s">
        <v>23</v>
      </c>
      <c r="I6" s="21"/>
    </row>
    <row r="7" ht="22.5" customHeight="1">
      <c r="A7" s="104" t="str">
        <f t="array" ref="A7">IFERROR(TEXT(INDEX(Base!E:E,MATCH(B7,Base!A:A,0)),"mm.dd.yyyy"),"mm.dd.yyyy")
</f>
        <v>mm.dd.yyyy</v>
      </c>
      <c r="B7" s="105" t="s">
        <v>731</v>
      </c>
      <c r="C7" s="106" t="str">
        <f t="array" ref="C7">IFERROR(INDEX(Base!I:I,MATCH(B7,Base!A:A,0)),"Nome do Cliente")
</f>
        <v>Nome do Cliente</v>
      </c>
      <c r="D7" s="10" t="str">
        <f t="array" ref="D7">IFERROR(INDEX(Base!F:F,MATCH(B7,Base!A:A,0)),"Tipo do serv.")
</f>
        <v>Tipo do serv.</v>
      </c>
      <c r="E7" s="10" t="str">
        <f t="array" ref="E7">IFERROR(INDEX(Base!G:G,MATCH(B7,Base!A:A,0)),"Modelo da Cond.")</f>
        <v>Modelo da Cond.</v>
      </c>
      <c r="F7" s="10" t="str">
        <f t="array" ref="F7">IFERROR(INDEX(Base!H:H,MATCH(B7,Base!A:A,0)),"N° Serial")</f>
        <v>N° Serial</v>
      </c>
      <c r="G7" s="21" t="s">
        <v>826</v>
      </c>
      <c r="H7" s="14" t="s">
        <v>24</v>
      </c>
      <c r="I7" s="21" t="s">
        <v>827</v>
      </c>
    </row>
    <row r="8" ht="22.5" customHeight="1">
      <c r="A8" s="104" t="str">
        <f t="array" ref="A8">IFERROR(TEXT(INDEX(Base!E:E,MATCH(B8,Base!A:A,0)),"mm.dd.yyyy"),"mm.dd.yyyy")
</f>
        <v>mm.dd.yyyy</v>
      </c>
      <c r="B8" s="105" t="s">
        <v>748</v>
      </c>
      <c r="C8" s="106" t="str">
        <f t="array" ref="C8">IFERROR(INDEX(Base!I:I,MATCH(B8,Base!A:A,0)),"Nome do Cliente")
</f>
        <v>Nome do Cliente</v>
      </c>
      <c r="D8" s="10" t="str">
        <f t="array" ref="D8">IFERROR(INDEX(Base!F:F,MATCH(B8,Base!A:A,0)),"Tipo do serv.")
</f>
        <v>Tipo do serv.</v>
      </c>
      <c r="E8" s="10" t="str">
        <f t="array" ref="E8">IFERROR(INDEX(Base!G:G,MATCH(B8,Base!A:A,0)),"Modelo da Cond.")</f>
        <v>Modelo da Cond.</v>
      </c>
      <c r="F8" s="10" t="str">
        <f t="array" ref="F8">IFERROR(INDEX(Base!H:H,MATCH(B8,Base!A:A,0)),"N° Serial")</f>
        <v>N° Serial</v>
      </c>
      <c r="G8" s="21" t="s">
        <v>828</v>
      </c>
      <c r="H8" s="14"/>
      <c r="I8" s="21"/>
    </row>
    <row r="9" ht="22.5" customHeight="1">
      <c r="A9" s="104" t="str">
        <f t="array" ref="A9">IFERROR(TEXT(INDEX(Base!E:E,MATCH(B9,Base!A:A,0)),"mm.dd.yyyy"),"mm.dd.yyyy")
</f>
        <v>01.12.2025</v>
      </c>
      <c r="B9" s="105" t="s">
        <v>28</v>
      </c>
      <c r="C9" s="106" t="str">
        <f t="array" ref="C9">IFERROR(INDEX(Base!I:I,MATCH(B9,Base!A:A,0)),"Nome do Cliente")
</f>
        <v>Bruno Henrique Dannas Pelogia</v>
      </c>
      <c r="D9" s="10" t="str">
        <f t="array" ref="D9">IFERROR(INDEX(Base!F:F,MATCH(B9,Base!A:A,0)),"Tipo do serv.")
</f>
        <v>Em Domicílio</v>
      </c>
      <c r="E9" s="10" t="str">
        <f t="array" ref="E9">IFERROR(INDEX(Base!G:G,MATCH(B9,Base!A:A,0)),"Modelo da Cond.")</f>
        <v>AJ050AXJ2KH/AZ</v>
      </c>
      <c r="F9" s="10" t="str">
        <f t="array" ref="F9">IFERROR(INDEX(Base!H:H,MATCH(B9,Base!A:A,0)),"N° Serial")</f>
        <v>02TGPXBX200299V</v>
      </c>
      <c r="G9" s="21" t="s">
        <v>829</v>
      </c>
      <c r="H9" s="14" t="s">
        <v>23</v>
      </c>
      <c r="I9" s="21"/>
    </row>
    <row r="10" ht="22.5" customHeight="1">
      <c r="A10" s="104" t="str">
        <f t="array" ref="A10">IFERROR(TEXT(INDEX(Base!E:E,MATCH(B10,Base!A:A,0)),"mm.dd.yyyy"),"mm.dd.yyyy")
</f>
        <v>mm.dd.yyyy</v>
      </c>
      <c r="B10" s="105" t="s">
        <v>743</v>
      </c>
      <c r="C10" s="106" t="str">
        <f t="array" ref="C10">IFERROR(INDEX(Base!I:I,MATCH(B10,Base!A:A,0)),"Nome do Cliente")
</f>
        <v>Nome do Cliente</v>
      </c>
      <c r="D10" s="10" t="str">
        <f t="array" ref="D10">IFERROR(INDEX(Base!F:F,MATCH(B10,Base!A:A,0)),"Tipo do serv.")
</f>
        <v>Tipo do serv.</v>
      </c>
      <c r="E10" s="10" t="str">
        <f t="array" ref="E10">IFERROR(INDEX(Base!G:G,MATCH(B10,Base!A:A,0)),"Modelo da Cond.")</f>
        <v>Modelo da Cond.</v>
      </c>
      <c r="F10" s="10" t="str">
        <f t="array" ref="F10">IFERROR(INDEX(Base!H:H,MATCH(B10,Base!A:A,0)),"N° Serial")</f>
        <v>N° Serial</v>
      </c>
      <c r="G10" s="21" t="s">
        <v>830</v>
      </c>
      <c r="H10" s="14"/>
      <c r="I10" s="21"/>
    </row>
    <row r="11" ht="22.5" customHeight="1">
      <c r="A11" s="104" t="str">
        <f t="array" ref="A11">IFERROR(TEXT(INDEX(Base!E:E,MATCH(B11,Base!A:A,0)),"mm.dd.yyyy"),"mm.dd.yyyy")
</f>
        <v>mm.dd.yyyy</v>
      </c>
      <c r="B11" s="105" t="s">
        <v>750</v>
      </c>
      <c r="C11" s="106" t="str">
        <f t="array" ref="C11">IFERROR(INDEX(Base!I:I,MATCH(B11,Base!A:A,0)),"Nome do Cliente")
</f>
        <v>Nome do Cliente</v>
      </c>
      <c r="D11" s="10" t="str">
        <f t="array" ref="D11">IFERROR(INDEX(Base!F:F,MATCH(B11,Base!A:A,0)),"Tipo do serv.")
</f>
        <v>Tipo do serv.</v>
      </c>
      <c r="E11" s="10" t="str">
        <f t="array" ref="E11">IFERROR(INDEX(Base!G:G,MATCH(B11,Base!A:A,0)),"Modelo da Cond.")</f>
        <v>Modelo da Cond.</v>
      </c>
      <c r="F11" s="10" t="str">
        <f t="array" ref="F11">IFERROR(INDEX(Base!H:H,MATCH(B11,Base!A:A,0)),"N° Serial")</f>
        <v>N° Serial</v>
      </c>
      <c r="G11" s="21" t="s">
        <v>831</v>
      </c>
      <c r="H11" s="14" t="s">
        <v>23</v>
      </c>
      <c r="I11" s="21"/>
    </row>
    <row r="12" ht="22.5" customHeight="1">
      <c r="A12" s="104" t="str">
        <f t="array" ref="A12">IFERROR(TEXT(INDEX(Base!E:E,MATCH(B12,Base!A:A,0)),"mm.dd.yyyy"),"mm.dd.yyyy")
</f>
        <v>10.11.2025</v>
      </c>
      <c r="B12" s="105" t="s">
        <v>22</v>
      </c>
      <c r="C12" s="106" t="str">
        <f t="array" ref="C12">IFERROR(INDEX(Base!I:I,MATCH(B12,Base!A:A,0)),"Nome do Cliente")
</f>
        <v>MARIO GOMES DA SILVA</v>
      </c>
      <c r="D12" s="10" t="str">
        <f t="array" ref="D12">IFERROR(INDEX(Base!F:F,MATCH(B12,Base!A:A,0)),"Tipo do serv.")
</f>
        <v>Em Domicílio</v>
      </c>
      <c r="E12" s="10" t="str">
        <f t="array" ref="E12">IFERROR(INDEX(Base!G:G,MATCH(B12,Base!A:A,0)),"Modelo da Cond.")</f>
        <v>AC018DN1DKG/AZ</v>
      </c>
      <c r="F12" s="10" t="str">
        <f t="array" ref="F12">IFERROR(INDEX(Base!H:H,MATCH(B12,Base!A:A,0)),"N° Serial")</f>
        <v>0309PXAY700069B</v>
      </c>
      <c r="G12" s="21" t="s">
        <v>832</v>
      </c>
      <c r="H12" s="14" t="s">
        <v>23</v>
      </c>
      <c r="I12" s="21" t="s">
        <v>833</v>
      </c>
    </row>
    <row r="13" ht="22.5" customHeight="1">
      <c r="A13" s="104" t="str">
        <f t="array" ref="A13">IFERROR(TEXT(INDEX(Base!E:E,MATCH(B13,Base!A:A,0)),"mm.dd.yyyy"),"mm.dd.yyyy")
</f>
        <v>mm.dd.yyyy</v>
      </c>
      <c r="B13" s="100" t="s">
        <v>804</v>
      </c>
      <c r="C13" s="106" t="str">
        <f t="array" ref="C13">IFERROR(INDEX(Base!I:I,MATCH(B13,Base!A:A,0)),"Nome do Cliente")
</f>
        <v>Nome do Cliente</v>
      </c>
      <c r="D13" s="10" t="str">
        <f t="array" ref="D13">IFERROR(INDEX(Base!F:F,MATCH(B13,Base!A:A,0)),"Tipo do serv.")
</f>
        <v>Tipo do serv.</v>
      </c>
      <c r="E13" s="10" t="str">
        <f t="array" ref="E13">IFERROR(INDEX(Base!G:G,MATCH(B13,Base!A:A,0)),"Modelo da Cond.")</f>
        <v>Modelo da Cond.</v>
      </c>
      <c r="F13" s="10" t="str">
        <f t="array" ref="F13">IFERROR(INDEX(Base!H:H,MATCH(B13,Base!A:A,0)),"N° Serial")</f>
        <v>N° Serial</v>
      </c>
      <c r="G13" s="21" t="s">
        <v>834</v>
      </c>
      <c r="H13" s="14" t="s">
        <v>23</v>
      </c>
      <c r="I13" s="21" t="s">
        <v>835</v>
      </c>
    </row>
    <row r="14" ht="22.5" customHeight="1">
      <c r="A14" s="104" t="str">
        <f t="array" ref="A14">IFERROR(TEXT(INDEX(Base!E:E,MATCH(B14,Base!A:A,0)),"mm.dd.yyyy"),"mm.dd.yyyy")
</f>
        <v>mm.dd.yyyy</v>
      </c>
      <c r="B14" s="107" t="s">
        <v>749</v>
      </c>
      <c r="C14" s="106" t="str">
        <f t="array" ref="C14">IFERROR(INDEX(Base!I:I,MATCH(B14,Base!A:A,0)),"Nome do Cliente")
</f>
        <v>Nome do Cliente</v>
      </c>
      <c r="D14" s="10" t="str">
        <f t="array" ref="D14">IFERROR(INDEX(Base!F:F,MATCH(B14,Base!A:A,0)),"Tipo do serv.")
</f>
        <v>Tipo do serv.</v>
      </c>
      <c r="E14" s="10" t="str">
        <f t="array" ref="E14">IFERROR(INDEX(Base!G:G,MATCH(B14,Base!A:A,0)),"Modelo da Cond.")</f>
        <v>Modelo da Cond.</v>
      </c>
      <c r="F14" s="10" t="str">
        <f t="array" ref="F14">IFERROR(INDEX(Base!H:H,MATCH(B14,Base!A:A,0)),"N° Serial")</f>
        <v>N° Serial</v>
      </c>
      <c r="G14" s="21" t="s">
        <v>836</v>
      </c>
      <c r="H14" s="14" t="s">
        <v>23</v>
      </c>
      <c r="I14" s="21" t="s">
        <v>837</v>
      </c>
    </row>
    <row r="15" ht="22.5" customHeight="1">
      <c r="A15" s="104" t="str">
        <f t="array" ref="A15">IFERROR(TEXT(INDEX(Base!E:E,MATCH(B15,Base!A:A,0)),"mm.dd.yyyy"),"mm.dd.yyyy")
</f>
        <v>12.19.2025</v>
      </c>
      <c r="B15" s="105" t="s">
        <v>34</v>
      </c>
      <c r="C15" s="106" t="str">
        <f t="array" ref="C15">IFERROR(INDEX(Base!I:I,MATCH(B15,Base!A:A,0)),"Nome do Cliente")
</f>
        <v>Eliane Vignatti Avancini</v>
      </c>
      <c r="D15" s="10" t="str">
        <f t="array" ref="D15">IFERROR(INDEX(Base!F:F,MATCH(B15,Base!A:A,0)),"Tipo do serv.")
</f>
        <v>Em Domicílio</v>
      </c>
      <c r="E15" s="10" t="str">
        <f t="array" ref="E15">IFERROR(INDEX(Base!G:G,MATCH(B15,Base!A:A,0)),"Modelo da Cond.")</f>
        <v>AC048TN4DKC/AZ</v>
      </c>
      <c r="F15" s="10" t="str">
        <f t="array" ref="F15">IFERROR(INDEX(Base!H:H,MATCH(B15,Base!A:A,0)),"N° Serial")</f>
        <v>BF09P3HW800039W</v>
      </c>
      <c r="G15" s="21" t="s">
        <v>838</v>
      </c>
      <c r="H15" s="14" t="s">
        <v>23</v>
      </c>
      <c r="I15" s="21" t="s">
        <v>839</v>
      </c>
    </row>
    <row r="16" ht="22.5" customHeight="1">
      <c r="A16" s="104" t="str">
        <f t="array" ref="A16">IFERROR(TEXT(INDEX(Base!E:E,MATCH(B16,Base!A:A,0)),"mm.dd.yyyy"),"mm.dd.yyyy")
</f>
        <v>05.01.2026</v>
      </c>
      <c r="B16" s="105" t="s">
        <v>40</v>
      </c>
      <c r="C16" s="106" t="str">
        <f t="array" ref="C16">IFERROR(INDEX(Base!I:I,MATCH(B16,Base!A:A,0)),"Nome do Cliente")
</f>
        <v>Fernando Romeu Miassi</v>
      </c>
      <c r="D16" s="10" t="str">
        <f t="array" ref="D16">IFERROR(INDEX(Base!F:F,MATCH(B16,Base!A:A,0)),"Tipo do serv.")
</f>
        <v>Em Domicílio</v>
      </c>
      <c r="E16" s="10" t="str">
        <f t="array" ref="E16">IFERROR(INDEX(Base!G:G,MATCH(B16,Base!A:A,0)),"Modelo da Cond.")</f>
        <v>AM036TNVDKH/EU</v>
      </c>
      <c r="F16" s="10" t="str">
        <f t="array" ref="F16">IFERROR(INDEX(Base!H:H,MATCH(B16,Base!A:A,0)),"N° Serial")</f>
        <v>0HG7PDAW900052X</v>
      </c>
      <c r="G16" s="21" t="s">
        <v>840</v>
      </c>
      <c r="H16" s="14" t="s">
        <v>23</v>
      </c>
      <c r="I16" s="21" t="s">
        <v>841</v>
      </c>
    </row>
    <row r="17" ht="22.5" customHeight="1">
      <c r="A17" s="104" t="str">
        <f t="array" ref="A17">IFERROR(TEXT(INDEX(Base!E:E,MATCH(B17,Base!A:A,0)),"mm.dd.yyyy"),"mm.dd.yyyy")
</f>
        <v>01.16.2026</v>
      </c>
      <c r="B17" s="105" t="s">
        <v>47</v>
      </c>
      <c r="C17" s="106" t="str">
        <f t="array" ref="C17">IFERROR(INDEX(Base!I:I,MATCH(B17,Base!A:A,0)),"Nome do Cliente")
</f>
        <v>COMERCIAL PROTON LIMITADA</v>
      </c>
      <c r="D17" s="10" t="str">
        <f t="array" ref="D17">IFERROR(INDEX(Base!F:F,MATCH(B17,Base!A:A,0)),"Tipo do serv.")
</f>
        <v>Em Domicílio</v>
      </c>
      <c r="E17" s="10" t="str">
        <f t="array" ref="E17">IFERROR(INDEX(Base!G:G,MATCH(B17,Base!A:A,0)),"Modelo da Cond.")</f>
        <v>AM170TN4DKH/EA</v>
      </c>
      <c r="F17" s="10" t="str">
        <f t="array" ref="F17">IFERROR(INDEX(Base!H:H,MATCH(B17,Base!A:A,0)),"N° Serial")</f>
        <v>M000</v>
      </c>
      <c r="G17" s="21" t="s">
        <v>836</v>
      </c>
      <c r="H17" s="14" t="s">
        <v>23</v>
      </c>
      <c r="I17" s="21" t="s">
        <v>842</v>
      </c>
    </row>
    <row r="18" ht="22.5" customHeight="1">
      <c r="A18" s="104" t="str">
        <f t="array" ref="A18">IFERROR(TEXT(INDEX(Base!E:E,MATCH(B18,Base!A:A,0)),"mm.dd.yyyy"),"mm.dd.yyyy")
</f>
        <v>mm.dd.yyyy</v>
      </c>
      <c r="B18" s="105" t="s">
        <v>711</v>
      </c>
      <c r="C18" s="106" t="str">
        <f t="array" ref="C18">IFERROR(INDEX(Base!I:I,MATCH(B18,Base!A:A,0)),"Nome do Cliente")
</f>
        <v>Nome do Cliente</v>
      </c>
      <c r="D18" s="10" t="str">
        <f t="array" ref="D18">IFERROR(INDEX(Base!F:F,MATCH(B18,Base!A:A,0)),"Tipo do serv.")
</f>
        <v>Tipo do serv.</v>
      </c>
      <c r="E18" s="10" t="str">
        <f t="array" ref="E18">IFERROR(INDEX(Base!G:G,MATCH(B18,Base!A:A,0)),"Modelo da Cond.")</f>
        <v>Modelo da Cond.</v>
      </c>
      <c r="F18" s="10" t="str">
        <f t="array" ref="F18">IFERROR(INDEX(Base!H:H,MATCH(B18,Base!A:A,0)),"N° Serial")</f>
        <v>N° Serial</v>
      </c>
      <c r="G18" s="21" t="s">
        <v>843</v>
      </c>
      <c r="H18" s="14" t="s">
        <v>23</v>
      </c>
      <c r="I18" s="21"/>
    </row>
    <row r="19" ht="22.5" customHeight="1">
      <c r="A19" s="104" t="str">
        <f t="array" ref="A19">IFERROR(TEXT(INDEX(Base!E:E,MATCH(B19,Base!A:A,0)),"mm.dd.yyyy"),"mm.dd.yyyy")
</f>
        <v>mm.dd.yyyy</v>
      </c>
      <c r="B19" s="105" t="s">
        <v>808</v>
      </c>
      <c r="C19" s="106" t="str">
        <f t="array" ref="C19">IFERROR(INDEX(Base!I:I,MATCH(B19,Base!A:A,0)),"Nome do Cliente")
</f>
        <v>Nome do Cliente</v>
      </c>
      <c r="D19" s="10" t="str">
        <f t="array" ref="D19">IFERROR(INDEX(Base!F:F,MATCH(B19,Base!A:A,0)),"Tipo do serv.")
</f>
        <v>Tipo do serv.</v>
      </c>
      <c r="E19" s="10" t="str">
        <f t="array" ref="E19">IFERROR(INDEX(Base!G:G,MATCH(B19,Base!A:A,0)),"Modelo da Cond.")</f>
        <v>Modelo da Cond.</v>
      </c>
      <c r="F19" s="10" t="str">
        <f t="array" ref="F19">IFERROR(INDEX(Base!H:H,MATCH(B19,Base!A:A,0)),"N° Serial")</f>
        <v>N° Serial</v>
      </c>
      <c r="G19" s="21" t="s">
        <v>824</v>
      </c>
      <c r="H19" s="14" t="s">
        <v>23</v>
      </c>
      <c r="I19" s="21"/>
    </row>
    <row r="20" ht="22.5" customHeight="1">
      <c r="A20" s="104" t="str">
        <f t="array" ref="A20">IFERROR(TEXT(INDEX(Base!E:E,MATCH(B20,Base!A:A,0)),"mm.dd.yyyy"),"mm.dd.yyyy")
</f>
        <v>01.19.2026</v>
      </c>
      <c r="B20" s="105" t="s">
        <v>52</v>
      </c>
      <c r="C20" s="106" t="str">
        <f t="array" ref="C20">IFERROR(INDEX(Base!I:I,MATCH(B20,Base!A:A,0)),"Nome do Cliente")
</f>
        <v>William Robert Nahra Filho</v>
      </c>
      <c r="D20" s="10" t="str">
        <f t="array" ref="D20">IFERROR(INDEX(Base!F:F,MATCH(B20,Base!A:A,0)),"Tipo do serv.")
</f>
        <v>Em Domicílio</v>
      </c>
      <c r="E20" s="10" t="str">
        <f t="array" ref="E20">IFERROR(INDEX(Base!G:G,MATCH(B20,Base!A:A,0)),"Modelo da Cond.")</f>
        <v>AC024DN4DKG/AZ</v>
      </c>
      <c r="F20" s="10" t="str">
        <f t="array" ref="F20">IFERROR(INDEX(Base!H:H,MATCH(B20,Base!A:A,0)),"N° Serial")</f>
        <v>030FPXAX200036P</v>
      </c>
      <c r="G20" s="108" t="s">
        <v>844</v>
      </c>
      <c r="H20" s="14" t="s">
        <v>23</v>
      </c>
      <c r="I20" s="21"/>
    </row>
    <row r="21" ht="22.5" customHeight="1">
      <c r="A21" s="104" t="str">
        <f t="array" ref="A21">IFERROR(TEXT(INDEX(Base!E:E,MATCH(B21,Base!A:A,0)),"mm.dd.yyyy"),"mm.dd.yyyy")
</f>
        <v>mm.dd.yyyy</v>
      </c>
      <c r="B21" s="105" t="s">
        <v>793</v>
      </c>
      <c r="C21" s="106" t="str">
        <f t="array" ref="C21">IFERROR(INDEX(Base!I:I,MATCH(B21,Base!A:A,0)),"Nome do Cliente")
</f>
        <v>Nome do Cliente</v>
      </c>
      <c r="D21" s="10" t="str">
        <f t="array" ref="D21">IFERROR(INDEX(Base!F:F,MATCH(B21,Base!A:A,0)),"Tipo do serv.")
</f>
        <v>Tipo do serv.</v>
      </c>
      <c r="E21" s="10" t="str">
        <f t="array" ref="E21">IFERROR(INDEX(Base!G:G,MATCH(B21,Base!A:A,0)),"Modelo da Cond.")</f>
        <v>Modelo da Cond.</v>
      </c>
      <c r="F21" s="10" t="str">
        <f t="array" ref="F21">IFERROR(INDEX(Base!H:H,MATCH(B21,Base!A:A,0)),"N° Serial")</f>
        <v>N° Serial</v>
      </c>
      <c r="G21" s="98" t="s">
        <v>845</v>
      </c>
      <c r="H21" s="14" t="s">
        <v>23</v>
      </c>
      <c r="I21" s="21"/>
    </row>
    <row r="22" ht="22.5" customHeight="1">
      <c r="A22" s="104" t="str">
        <f t="array" ref="A22">IFERROR(TEXT(INDEX(Base!E:E,MATCH(B22,Base!A:A,0)),"mm.dd.yyyy"),"mm.dd.yyyy")
</f>
        <v>mm.dd.yyyy</v>
      </c>
      <c r="B22" s="105" t="s">
        <v>809</v>
      </c>
      <c r="C22" s="106" t="str">
        <f t="array" ref="C22">IFERROR(INDEX(Base!I:I,MATCH(B22,Base!A:A,0)),"Nome do Cliente")
</f>
        <v>Nome do Cliente</v>
      </c>
      <c r="D22" s="10" t="str">
        <f t="array" ref="D22">IFERROR(INDEX(Base!F:F,MATCH(B22,Base!A:A,0)),"Tipo do serv.")
</f>
        <v>Tipo do serv.</v>
      </c>
      <c r="E22" s="10" t="str">
        <f t="array" ref="E22">IFERROR(INDEX(Base!G:G,MATCH(B22,Base!A:A,0)),"Modelo da Cond.")</f>
        <v>Modelo da Cond.</v>
      </c>
      <c r="F22" s="10" t="str">
        <f t="array" ref="F22">IFERROR(INDEX(Base!H:H,MATCH(B22,Base!A:A,0)),"N° Serial")</f>
        <v>N° Serial</v>
      </c>
      <c r="G22" s="109" t="s">
        <v>846</v>
      </c>
      <c r="H22" s="14" t="s">
        <v>23</v>
      </c>
      <c r="I22" s="21"/>
    </row>
    <row r="23" ht="22.5" customHeight="1">
      <c r="A23" s="104" t="str">
        <f t="array" ref="A23">IFERROR(TEXT(INDEX(Base!E:E,MATCH(B23,Base!A:A,0)),"mm.dd.yyyy"),"mm.dd.yyyy")
</f>
        <v>mm.dd.yyyy</v>
      </c>
      <c r="B23" s="105" t="s">
        <v>810</v>
      </c>
      <c r="C23" s="106" t="str">
        <f t="array" ref="C23">IFERROR(INDEX(Base!I:I,MATCH(B23,Base!A:A,0)),"Nome do Cliente")
</f>
        <v>Nome do Cliente</v>
      </c>
      <c r="D23" s="10" t="str">
        <f t="array" ref="D23">IFERROR(INDEX(Base!F:F,MATCH(B23,Base!A:A,0)),"Tipo do serv.")
</f>
        <v>Tipo do serv.</v>
      </c>
      <c r="E23" s="10" t="str">
        <f t="array" ref="E23">IFERROR(INDEX(Base!G:G,MATCH(B23,Base!A:A,0)),"Modelo da Cond.")</f>
        <v>Modelo da Cond.</v>
      </c>
      <c r="F23" s="10" t="str">
        <f t="array" ref="F23">IFERROR(INDEX(Base!H:H,MATCH(B23,Base!A:A,0)),"N° Serial")</f>
        <v>N° Serial</v>
      </c>
      <c r="G23" s="109" t="s">
        <v>847</v>
      </c>
      <c r="H23" s="14" t="s">
        <v>23</v>
      </c>
      <c r="I23" s="21"/>
    </row>
    <row r="24" ht="22.5" customHeight="1">
      <c r="A24" s="104" t="str">
        <f t="array" ref="A24">IFERROR(TEXT(INDEX(Base!E:E,MATCH(B24,Base!A:A,0)),"mm.dd.yyyy"),"mm.dd.yyyy")
</f>
        <v>mm.dd.yyyy</v>
      </c>
      <c r="B24" s="105" t="s">
        <v>751</v>
      </c>
      <c r="C24" s="106" t="str">
        <f t="array" ref="C24">IFERROR(INDEX(Base!I:I,MATCH(B24,Base!A:A,0)),"Nome do Cliente")
</f>
        <v>Nome do Cliente</v>
      </c>
      <c r="D24" s="10" t="str">
        <f t="array" ref="D24">IFERROR(INDEX(Base!F:F,MATCH(B24,Base!A:A,0)),"Tipo do serv.")
</f>
        <v>Tipo do serv.</v>
      </c>
      <c r="E24" s="10" t="str">
        <f t="array" ref="E24">IFERROR(INDEX(Base!G:G,MATCH(B24,Base!A:A,0)),"Modelo da Cond.")</f>
        <v>Modelo da Cond.</v>
      </c>
      <c r="F24" s="10" t="str">
        <f t="array" ref="F24">IFERROR(INDEX(Base!H:H,MATCH(B24,Base!A:A,0)),"N° Serial")</f>
        <v>N° Serial</v>
      </c>
      <c r="G24" s="21" t="s">
        <v>848</v>
      </c>
      <c r="H24" s="14" t="s">
        <v>23</v>
      </c>
      <c r="I24" s="21"/>
    </row>
    <row r="25" ht="22.5" customHeight="1">
      <c r="A25" s="104" t="str">
        <f t="array" ref="A25">IFERROR(TEXT(INDEX(Base!E:E,MATCH(B25,Base!A:A,0)),"mm.dd.yyyy"),"mm.dd.yyyy")
</f>
        <v>mm.dd.yyyy</v>
      </c>
      <c r="B25" s="105" t="s">
        <v>756</v>
      </c>
      <c r="C25" s="106" t="str">
        <f t="array" ref="C25">IFERROR(INDEX(Base!I:I,MATCH(B25,Base!A:A,0)),"Nome do Cliente")
</f>
        <v>Nome do Cliente</v>
      </c>
      <c r="D25" s="10" t="str">
        <f t="array" ref="D25">IFERROR(INDEX(Base!F:F,MATCH(B25,Base!A:A,0)),"Tipo do serv.")
</f>
        <v>Tipo do serv.</v>
      </c>
      <c r="E25" s="10" t="str">
        <f t="array" ref="E25">IFERROR(INDEX(Base!G:G,MATCH(B25,Base!A:A,0)),"Modelo da Cond.")</f>
        <v>Modelo da Cond.</v>
      </c>
      <c r="F25" s="10" t="str">
        <f t="array" ref="F25">IFERROR(INDEX(Base!H:H,MATCH(B25,Base!A:A,0)),"N° Serial")</f>
        <v>N° Serial</v>
      </c>
      <c r="G25" s="21" t="s">
        <v>849</v>
      </c>
      <c r="H25" s="14" t="s">
        <v>23</v>
      </c>
      <c r="I25" s="21"/>
    </row>
    <row r="26" ht="22.5" customHeight="1">
      <c r="A26" s="104" t="str">
        <f t="array" ref="A26">IFERROR(TEXT(INDEX(Base!E:E,MATCH(B26,Base!A:A,0)),"mm.dd.yyyy"),"mm.dd.yyyy")
</f>
        <v>07.01.2026</v>
      </c>
      <c r="B26" s="105" t="s">
        <v>41</v>
      </c>
      <c r="C26" s="106" t="str">
        <f t="array" ref="C26">IFERROR(INDEX(Base!I:I,MATCH(B26,Base!A:A,0)),"Nome do Cliente")
</f>
        <v>Sidnei Dos Reis Lopes</v>
      </c>
      <c r="D26" s="10" t="str">
        <f t="array" ref="D26">IFERROR(INDEX(Base!F:F,MATCH(B26,Base!A:A,0)),"Tipo do serv.")
</f>
        <v>Em Domicílio</v>
      </c>
      <c r="E26" s="10" t="str">
        <f t="array" ref="E26">IFERROR(INDEX(Base!G:G,MATCH(B26,Base!A:A,0)),"Modelo da Cond.")</f>
        <v>AC018DN1DKG/AZ</v>
      </c>
      <c r="F26" s="10" t="str">
        <f t="array" ref="F26">IFERROR(INDEX(Base!H:H,MATCH(B26,Base!A:A,0)),"N° Serial")</f>
        <v>0309PXAY400025P</v>
      </c>
      <c r="G26" s="21" t="s">
        <v>850</v>
      </c>
      <c r="H26" s="14" t="s">
        <v>23</v>
      </c>
      <c r="I26" s="21"/>
    </row>
    <row r="27" ht="22.5" customHeight="1">
      <c r="A27" s="104" t="str">
        <f t="array" ref="A27">IFERROR(TEXT(INDEX(Base!E:E,MATCH(B27,Base!A:A,0)),"mm.dd.yyyy"),"mm.dd.yyyy")
</f>
        <v>mm.dd.yyyy</v>
      </c>
      <c r="B27" s="105" t="s">
        <v>801</v>
      </c>
      <c r="C27" s="106" t="str">
        <f t="array" ref="C27">IFERROR(INDEX(Base!I:I,MATCH(B27,Base!A:A,0)),"Nome do Cliente")
</f>
        <v>Nome do Cliente</v>
      </c>
      <c r="D27" s="10" t="str">
        <f t="array" ref="D27">IFERROR(INDEX(Base!F:F,MATCH(B27,Base!A:A,0)),"Tipo do serv.")
</f>
        <v>Tipo do serv.</v>
      </c>
      <c r="E27" s="10" t="str">
        <f t="array" ref="E27">IFERROR(INDEX(Base!G:G,MATCH(B27,Base!A:A,0)),"Modelo da Cond.")</f>
        <v>Modelo da Cond.</v>
      </c>
      <c r="F27" s="10" t="str">
        <f t="array" ref="F27">IFERROR(INDEX(Base!H:H,MATCH(B27,Base!A:A,0)),"N° Serial")</f>
        <v>N° Serial</v>
      </c>
      <c r="G27" s="21" t="s">
        <v>851</v>
      </c>
      <c r="H27" s="14" t="s">
        <v>23</v>
      </c>
      <c r="I27" s="21"/>
    </row>
    <row r="28" ht="22.5" customHeight="1">
      <c r="A28" s="104" t="str">
        <f t="array" ref="A28">IFERROR(TEXT(INDEX(Base!E:E,MATCH(B28,Base!A:A,0)),"mm.dd.yyyy"),"mm.dd.yyyy")
</f>
        <v>01.14.2026</v>
      </c>
      <c r="B28" s="105" t="s">
        <v>50</v>
      </c>
      <c r="C28" s="106" t="str">
        <f t="array" ref="C28">IFERROR(INDEX(Base!I:I,MATCH(B28,Base!A:A,0)),"Nome do Cliente")
</f>
        <v>Richard Frank</v>
      </c>
      <c r="D28" s="10" t="str">
        <f t="array" ref="D28">IFERROR(INDEX(Base!F:F,MATCH(B28,Base!A:A,0)),"Tipo do serv.")
</f>
        <v>Em Domicílio</v>
      </c>
      <c r="E28" s="10" t="str">
        <f t="array" ref="E28">IFERROR(INDEX(Base!G:G,MATCH(B28,Base!A:A,0)),"Modelo da Cond.")</f>
        <v>AJ025ANAPKH2AZ</v>
      </c>
      <c r="F28" s="10" t="str">
        <f t="array" ref="F28">IFERROR(INDEX(Base!H:H,MATCH(B28,Base!A:A,0)),"N° Serial")</f>
        <v>0321PXCXA01720X</v>
      </c>
      <c r="G28" s="21" t="s">
        <v>852</v>
      </c>
      <c r="H28" s="14" t="s">
        <v>23</v>
      </c>
      <c r="I28" s="21"/>
    </row>
    <row r="29" ht="22.5" customHeight="1">
      <c r="A29" s="104" t="str">
        <f t="array" ref="A29">IFERROR(TEXT(INDEX(Base!E:E,MATCH(B29,Base!A:A,0)),"mm.dd.yyyy"),"mm.dd.yyyy")
</f>
        <v>mm.dd.yyyy</v>
      </c>
      <c r="B29" s="105" t="s">
        <v>800</v>
      </c>
      <c r="C29" s="106" t="str">
        <f t="array" ref="C29">IFERROR(INDEX(Base!I:I,MATCH(B29,Base!A:A,0)),"Nome do Cliente")
</f>
        <v>Nome do Cliente</v>
      </c>
      <c r="D29" s="10" t="str">
        <f t="array" ref="D29">IFERROR(INDEX(Base!F:F,MATCH(B29,Base!A:A,0)),"Tipo do serv.")
</f>
        <v>Tipo do serv.</v>
      </c>
      <c r="E29" s="10" t="str">
        <f t="array" ref="E29">IFERROR(INDEX(Base!G:G,MATCH(B29,Base!A:A,0)),"Modelo da Cond.")</f>
        <v>Modelo da Cond.</v>
      </c>
      <c r="F29" s="10" t="str">
        <f t="array" ref="F29">IFERROR(INDEX(Base!H:H,MATCH(B29,Base!A:A,0)),"N° Serial")</f>
        <v>N° Serial</v>
      </c>
      <c r="G29" s="21" t="s">
        <v>853</v>
      </c>
      <c r="H29" s="14" t="s">
        <v>23</v>
      </c>
      <c r="I29" s="21"/>
    </row>
    <row r="30" ht="22.5" customHeight="1">
      <c r="A30" s="104" t="str">
        <f t="array" ref="A30">IFERROR(TEXT(INDEX(Base!E:E,MATCH(B30,Base!A:A,0)),"mm.dd.yyyy"),"mm.dd.yyyy")
</f>
        <v>mm.dd.yyyy</v>
      </c>
      <c r="B30" s="105" t="s">
        <v>683</v>
      </c>
      <c r="C30" s="106" t="str">
        <f t="array" ref="C30">IFERROR(INDEX(Base!I:I,MATCH(B30,Base!A:A,0)),"Nome do Cliente")
</f>
        <v>Nome do Cliente</v>
      </c>
      <c r="D30" s="10" t="str">
        <f t="array" ref="D30">IFERROR(INDEX(Base!F:F,MATCH(B30,Base!A:A,0)),"Tipo do serv.")
</f>
        <v>Tipo do serv.</v>
      </c>
      <c r="E30" s="10" t="str">
        <f t="array" ref="E30">IFERROR(INDEX(Base!G:G,MATCH(B30,Base!A:A,0)),"Modelo da Cond.")</f>
        <v>Modelo da Cond.</v>
      </c>
      <c r="F30" s="10" t="str">
        <f t="array" ref="F30">IFERROR(INDEX(Base!H:H,MATCH(B30,Base!A:A,0)),"N° Serial")</f>
        <v>N° Serial</v>
      </c>
      <c r="G30" s="21" t="s">
        <v>854</v>
      </c>
      <c r="H30" s="14" t="s">
        <v>23</v>
      </c>
      <c r="I30" s="21"/>
    </row>
    <row r="31" ht="22.5" customHeight="1">
      <c r="A31" s="104" t="str">
        <f t="array" ref="A31">IFERROR(TEXT(INDEX(Base!E:E,MATCH(B31,Base!A:A,0)),"mm.dd.yyyy"),"mm.dd.yyyy")
</f>
        <v>mm.dd.yyyy</v>
      </c>
      <c r="B31" s="87" t="s">
        <v>721</v>
      </c>
      <c r="C31" s="106" t="str">
        <f t="array" ref="C31">IFERROR(INDEX(Base!I:I,MATCH(B31,Base!A:A,0)),"Nome do Cliente")
</f>
        <v>Nome do Cliente</v>
      </c>
      <c r="D31" s="10" t="str">
        <f t="array" ref="D31">IFERROR(INDEX(Base!F:F,MATCH(B31,Base!A:A,0)),"Tipo do serv.")
</f>
        <v>Tipo do serv.</v>
      </c>
      <c r="E31" s="10" t="str">
        <f t="array" ref="E31">IFERROR(INDEX(Base!G:G,MATCH(B31,Base!A:A,0)),"Modelo da Cond.")</f>
        <v>Modelo da Cond.</v>
      </c>
      <c r="F31" s="10" t="str">
        <f t="array" ref="F31">IFERROR(INDEX(Base!H:H,MATCH(B31,Base!A:A,0)),"N° Serial")</f>
        <v>N° Serial</v>
      </c>
      <c r="G31" s="21" t="s">
        <v>855</v>
      </c>
      <c r="H31" s="14" t="s">
        <v>23</v>
      </c>
      <c r="I31" s="21"/>
    </row>
    <row r="32" ht="22.5" customHeight="1">
      <c r="A32" s="104" t="str">
        <f t="array" ref="A32">IFERROR(TEXT(INDEX(Base!E:E,MATCH(B32,Base!A:A,0)),"mm.dd.yyyy"),"mm.dd.yyyy")
</f>
        <v>mm.dd.yyyy</v>
      </c>
      <c r="B32" s="87" t="s">
        <v>729</v>
      </c>
      <c r="C32" s="106" t="str">
        <f t="array" ref="C32">IFERROR(INDEX(Base!I:I,MATCH(B32,Base!A:A,0)),"Nome do Cliente")
</f>
        <v>Nome do Cliente</v>
      </c>
      <c r="D32" s="10" t="str">
        <f t="array" ref="D32">IFERROR(INDEX(Base!F:F,MATCH(B32,Base!A:A,0)),"Tipo do serv.")
</f>
        <v>Tipo do serv.</v>
      </c>
      <c r="E32" s="10" t="str">
        <f t="array" ref="E32">IFERROR(INDEX(Base!G:G,MATCH(B32,Base!A:A,0)),"Modelo da Cond.")</f>
        <v>Modelo da Cond.</v>
      </c>
      <c r="F32" s="10" t="str">
        <f t="array" ref="F32">IFERROR(INDEX(Base!H:H,MATCH(B32,Base!A:A,0)),"N° Serial")</f>
        <v>N° Serial</v>
      </c>
      <c r="G32" s="21" t="s">
        <v>855</v>
      </c>
      <c r="H32" s="14" t="s">
        <v>23</v>
      </c>
      <c r="I32" s="21"/>
    </row>
    <row r="33" ht="22.5" customHeight="1">
      <c r="A33" s="104" t="str">
        <f t="array" ref="A33">IFERROR(TEXT(INDEX(Base!E:E,MATCH(B33,Base!A:A,0)),"mm.dd.yyyy"),"mm.dd.yyyy")
</f>
        <v>mm.dd.yyyy</v>
      </c>
      <c r="B33" s="105" t="s">
        <v>747</v>
      </c>
      <c r="C33" s="106" t="str">
        <f t="array" ref="C33">IFERROR(INDEX(Base!I:I,MATCH(B33,Base!A:A,0)),"Nome do Cliente")
</f>
        <v>Nome do Cliente</v>
      </c>
      <c r="D33" s="10" t="str">
        <f t="array" ref="D33">IFERROR(INDEX(Base!F:F,MATCH(B33,Base!A:A,0)),"Tipo do serv.")
</f>
        <v>Tipo do serv.</v>
      </c>
      <c r="E33" s="10" t="str">
        <f t="array" ref="E33">IFERROR(INDEX(Base!G:G,MATCH(B33,Base!A:A,0)),"Modelo da Cond.")</f>
        <v>Modelo da Cond.</v>
      </c>
      <c r="F33" s="10" t="str">
        <f t="array" ref="F33">IFERROR(INDEX(Base!H:H,MATCH(B33,Base!A:A,0)),"N° Serial")</f>
        <v>N° Serial</v>
      </c>
      <c r="G33" s="21" t="s">
        <v>824</v>
      </c>
      <c r="H33" s="14" t="s">
        <v>23</v>
      </c>
      <c r="I33" s="21"/>
    </row>
    <row r="34" ht="22.5" customHeight="1">
      <c r="A34" s="104" t="str">
        <f t="array" ref="A34">IFERROR(TEXT(INDEX(Base!E:E,MATCH(B34,Base!A:A,0)),"mm.dd.yyyy"),"mm.dd.yyyy")
</f>
        <v>mm.dd.yyyy</v>
      </c>
      <c r="B34" s="105" t="s">
        <v>807</v>
      </c>
      <c r="C34" s="106" t="str">
        <f t="array" ref="C34">IFERROR(INDEX(Base!I:I,MATCH(B34,Base!A:A,0)),"Nome do Cliente")
</f>
        <v>Nome do Cliente</v>
      </c>
      <c r="D34" s="10" t="str">
        <f t="array" ref="D34">IFERROR(INDEX(Base!F:F,MATCH(B34,Base!A:A,0)),"Tipo do serv.")
</f>
        <v>Tipo do serv.</v>
      </c>
      <c r="E34" s="10" t="str">
        <f t="array" ref="E34">IFERROR(INDEX(Base!G:G,MATCH(B34,Base!A:A,0)),"Modelo da Cond.")</f>
        <v>Modelo da Cond.</v>
      </c>
      <c r="F34" s="10" t="str">
        <f t="array" ref="F34">IFERROR(INDEX(Base!H:H,MATCH(B34,Base!A:A,0)),"N° Serial")</f>
        <v>N° Serial</v>
      </c>
      <c r="G34" s="21" t="s">
        <v>856</v>
      </c>
      <c r="H34" s="14" t="s">
        <v>23</v>
      </c>
      <c r="I34" s="21"/>
    </row>
    <row r="35" ht="22.5" customHeight="1">
      <c r="A35" s="104" t="str">
        <f t="array" ref="A35">IFERROR(TEXT(INDEX(Base!E:E,MATCH(B35,Base!A:A,0)),"mm.dd.yyyy"),"mm.dd.yyyy")
</f>
        <v>01.30.2026</v>
      </c>
      <c r="B35" s="105" t="s">
        <v>67</v>
      </c>
      <c r="C35" s="106" t="str">
        <f t="array" ref="C35">IFERROR(INDEX(Base!I:I,MATCH(B35,Base!A:A,0)),"Nome do Cliente")
</f>
        <v>GIULIA MADEIROS GUIDONI</v>
      </c>
      <c r="D35" s="10" t="str">
        <f t="array" ref="D35">IFERROR(INDEX(Base!F:F,MATCH(B35,Base!A:A,0)),"Tipo do serv.")
</f>
        <v>Em Domicílio</v>
      </c>
      <c r="E35" s="10" t="str">
        <f t="array" ref="E35">IFERROR(INDEX(Base!G:G,MATCH(B35,Base!A:A,0)),"Modelo da Cond.")</f>
        <v>AJ100DXJ5KH/AZ</v>
      </c>
      <c r="F35" s="10" t="str">
        <f t="array" ref="F35">IFERROR(INDEX(Base!H:H,MATCH(B35,Base!A:A,0)),"N° Serial")</f>
        <v>0344PXBY900196P</v>
      </c>
      <c r="G35" s="21" t="s">
        <v>857</v>
      </c>
      <c r="H35" s="14" t="s">
        <v>23</v>
      </c>
      <c r="I35" s="21"/>
    </row>
    <row r="36" ht="22.5" customHeight="1">
      <c r="A36" s="104" t="str">
        <f t="array" ref="A36">IFERROR(TEXT(INDEX(Base!E:E,MATCH(B36,Base!A:A,0)),"mm.dd.yyyy"),"mm.dd.yyyy")
</f>
        <v>02.02.2026</v>
      </c>
      <c r="B36" s="105" t="s">
        <v>72</v>
      </c>
      <c r="C36" s="106" t="str">
        <f t="array" ref="C36">IFERROR(INDEX(Base!I:I,MATCH(B36,Base!A:A,0)),"Nome do Cliente")
</f>
        <v>Jorge Luiz de Castro e Sil</v>
      </c>
      <c r="D36" s="10" t="str">
        <f t="array" ref="D36">IFERROR(INDEX(Base!F:F,MATCH(B36,Base!A:A,0)),"Tipo do serv.")
</f>
        <v>Em Domicílio</v>
      </c>
      <c r="E36" s="10" t="str">
        <f t="array" ref="E36">IFERROR(INDEX(Base!G:G,MATCH(B36,Base!A:A,0)),"Modelo da Cond.")</f>
        <v>AJ068AXJ3KH/AZ</v>
      </c>
      <c r="F36" s="10" t="str">
        <f t="array" ref="F36">IFERROR(INDEX(Base!H:H,MATCH(B36,Base!A:A,0)),"N° Serial")</f>
        <v>02TKPXBX300204A</v>
      </c>
      <c r="G36" s="21" t="s">
        <v>858</v>
      </c>
      <c r="H36" s="14" t="s">
        <v>23</v>
      </c>
      <c r="I36" s="21"/>
    </row>
    <row r="37" ht="22.5" customHeight="1">
      <c r="A37" s="104" t="str">
        <f t="array" ref="A37">IFERROR(TEXT(INDEX(Base!E:E,MATCH(B37,Base!A:A,0)),"mm.dd.yyyy"),"mm.dd.yyyy")
</f>
        <v>04.02.2026</v>
      </c>
      <c r="B37" s="105" t="s">
        <v>76</v>
      </c>
      <c r="C37" s="106" t="str">
        <f t="array" ref="C37">IFERROR(INDEX(Base!I:I,MATCH(B37,Base!A:A,0)),"Nome do Cliente")
</f>
        <v>Guilerme de Souza Aranha Moreira</v>
      </c>
      <c r="D37" s="10" t="str">
        <f t="array" ref="D37">IFERROR(INDEX(Base!F:F,MATCH(B37,Base!A:A,0)),"Tipo do serv.")
</f>
        <v>Em Domicílio</v>
      </c>
      <c r="E37" s="10" t="str">
        <f t="array" ref="E37">IFERROR(INDEX(Base!G:G,MATCH(B37,Base!A:A,0)),"Modelo da Cond.")</f>
        <v>AM100KXMDFH/TC</v>
      </c>
      <c r="F37" s="10" t="str">
        <f t="array" ref="F37">IFERROR(INDEX(Base!H:H,MATCH(B37,Base!A:A,0)),"N° Serial")</f>
        <v>0FHMPAOX700006V</v>
      </c>
      <c r="G37" s="21" t="s">
        <v>859</v>
      </c>
      <c r="H37" s="14" t="s">
        <v>24</v>
      </c>
      <c r="I37" s="21"/>
    </row>
    <row r="38" ht="22.5" customHeight="1">
      <c r="A38" s="104" t="str">
        <f t="array" ref="A38">IFERROR(TEXT(INDEX(Base!E:E,MATCH(B38,Base!A:A,0)),"mm.dd.yyyy"),"mm.dd.yyyy")
</f>
        <v>mm.dd.yyyy</v>
      </c>
      <c r="B38" s="105" t="s">
        <v>740</v>
      </c>
      <c r="C38" s="106" t="str">
        <f t="array" ref="C38">IFERROR(INDEX(Base!I:I,MATCH(B38,Base!A:A,0)),"Nome do Cliente")
</f>
        <v>Nome do Cliente</v>
      </c>
      <c r="D38" s="10" t="str">
        <f t="array" ref="D38">IFERROR(INDEX(Base!F:F,MATCH(B38,Base!A:A,0)),"Tipo do serv.")
</f>
        <v>Tipo do serv.</v>
      </c>
      <c r="E38" s="10" t="str">
        <f t="array" ref="E38">IFERROR(INDEX(Base!G:G,MATCH(B38,Base!A:A,0)),"Modelo da Cond.")</f>
        <v>Modelo da Cond.</v>
      </c>
      <c r="F38" s="10" t="str">
        <f t="array" ref="F38">IFERROR(INDEX(Base!H:H,MATCH(B38,Base!A:A,0)),"N° Serial")</f>
        <v>N° Serial</v>
      </c>
      <c r="G38" s="21" t="s">
        <v>860</v>
      </c>
      <c r="H38" s="14" t="s">
        <v>23</v>
      </c>
      <c r="I38" s="21"/>
    </row>
    <row r="39" ht="22.5" customHeight="1">
      <c r="A39" s="104" t="str">
        <f t="array" ref="A39">IFERROR(TEXT(INDEX(Base!E:E,MATCH(B39,Base!A:A,0)),"mm.dd.yyyy"),"mm.dd.yyyy")
</f>
        <v>01.23.2026</v>
      </c>
      <c r="B39" s="8" t="s">
        <v>53</v>
      </c>
      <c r="C39" s="106" t="str">
        <f t="array" ref="C39">IFERROR(INDEX(Base!I:I,MATCH(B39,Base!A:A,0)),"Nome do Cliente")
</f>
        <v>Marcos Phaulo Passos Bastos</v>
      </c>
      <c r="D39" s="10" t="str">
        <f t="array" ref="D39">IFERROR(INDEX(Base!F:F,MATCH(B39,Base!A:A,0)),"Tipo do serv.")
</f>
        <v>Em Domicílio</v>
      </c>
      <c r="E39" s="10" t="str">
        <f t="array" ref="E39">IFERROR(INDEX(Base!G:G,MATCH(B39,Base!A:A,0)),"Modelo da Cond.")</f>
        <v>AJ080AXJ4KH/AZ</v>
      </c>
      <c r="F39" s="10" t="str">
        <f t="array" ref="F39">IFERROR(INDEX(Base!H:H,MATCH(B39,Base!A:A,0)),"N° Serial")</f>
        <v>02TMPXBY100174H</v>
      </c>
      <c r="G39" s="110" t="s">
        <v>861</v>
      </c>
      <c r="H39" s="14" t="s">
        <v>23</v>
      </c>
      <c r="I39" s="21"/>
    </row>
    <row r="40" ht="22.5" customHeight="1">
      <c r="A40" s="104" t="str">
        <f t="array" ref="A40">IFERROR(TEXT(INDEX(Base!E:E,MATCH(B40,Base!A:A,0)),"mm.dd.yyyy"),"mm.dd.yyyy")
</f>
        <v>mm.dd.yyyy</v>
      </c>
      <c r="B40" s="111" t="s">
        <v>743</v>
      </c>
      <c r="C40" s="112" t="str">
        <f t="array" ref="C40">IFERROR(INDEX(Base!I:I,MATCH(B40,Base!A:A,0)),"Nome do Cliente")
</f>
        <v>Nome do Cliente</v>
      </c>
      <c r="D40" s="10" t="str">
        <f t="array" ref="D40">IFERROR(INDEX(Base!F:F,MATCH(B40,Base!A:A,0)),"Tipo do serv.")
</f>
        <v>Tipo do serv.</v>
      </c>
      <c r="E40" s="10" t="str">
        <f t="array" ref="E40">IFERROR(INDEX(Base!G:G,MATCH(B40,Base!A:A,0)),"Modelo da Cond.")</f>
        <v>Modelo da Cond.</v>
      </c>
      <c r="F40" s="10" t="str">
        <f t="array" ref="F40">IFERROR(INDEX(Base!H:H,MATCH(B40,Base!A:A,0)),"N° Serial")</f>
        <v>N° Serial</v>
      </c>
      <c r="G40" s="21" t="s">
        <v>862</v>
      </c>
      <c r="H40" s="14" t="s">
        <v>23</v>
      </c>
      <c r="I40" s="21" t="s">
        <v>93</v>
      </c>
    </row>
    <row r="41" ht="22.5" customHeight="1">
      <c r="A41" s="104" t="str">
        <f t="array" ref="A41">IFERROR(TEXT(INDEX(Base!E:E,MATCH(B41,Base!A:A,0)),"mm.dd.yyyy"),"mm.dd.yyyy")
</f>
        <v>mm.dd.yyyy</v>
      </c>
      <c r="B41" s="105" t="s">
        <v>808</v>
      </c>
      <c r="C41" s="106" t="str">
        <f t="array" ref="C41">IFERROR(INDEX(Base!I:I,MATCH(B41,Base!A:A,0)),"Nome do Cliente")
</f>
        <v>Nome do Cliente</v>
      </c>
      <c r="D41" s="10" t="str">
        <f t="array" ref="D41">IFERROR(INDEX(Base!F:F,MATCH(B41,Base!A:A,0)),"Tipo do serv.")
</f>
        <v>Tipo do serv.</v>
      </c>
      <c r="E41" s="10" t="str">
        <f t="array" ref="E41">IFERROR(INDEX(Base!G:G,MATCH(B41,Base!A:A,0)),"Modelo da Cond.")</f>
        <v>Modelo da Cond.</v>
      </c>
      <c r="F41" s="10" t="str">
        <f t="array" ref="F41">IFERROR(INDEX(Base!H:H,MATCH(B41,Base!A:A,0)),"N° Serial")</f>
        <v>N° Serial</v>
      </c>
      <c r="G41" s="21" t="s">
        <v>863</v>
      </c>
      <c r="H41" s="14" t="s">
        <v>23</v>
      </c>
      <c r="I41" s="21"/>
    </row>
    <row r="42" ht="22.5" customHeight="1">
      <c r="A42" s="104" t="str">
        <f t="array" ref="A42">IFERROR(TEXT(INDEX(Base!E:E,MATCH(B42,Base!A:A,0)),"mm.dd.yyyy"),"mm.dd.yyyy")
</f>
        <v>mm.dd.yyyy</v>
      </c>
      <c r="B42" s="105" t="s">
        <v>767</v>
      </c>
      <c r="C42" s="106" t="str">
        <f t="array" ref="C42">IFERROR(INDEX(Base!I:I,MATCH(B42,Base!A:A,0)),"Nome do Cliente")
</f>
        <v>Nome do Cliente</v>
      </c>
      <c r="D42" s="10" t="str">
        <f t="array" ref="D42">IFERROR(INDEX(Base!F:F,MATCH(B42,Base!A:A,0)),"Tipo do serv.")
</f>
        <v>Tipo do serv.</v>
      </c>
      <c r="E42" s="10" t="str">
        <f t="array" ref="E42">IFERROR(INDEX(Base!G:G,MATCH(B42,Base!A:A,0)),"Modelo da Cond.")</f>
        <v>Modelo da Cond.</v>
      </c>
      <c r="F42" s="10" t="str">
        <f t="array" ref="F42">IFERROR(INDEX(Base!H:H,MATCH(B42,Base!A:A,0)),"N° Serial")</f>
        <v>N° Serial</v>
      </c>
      <c r="G42" s="21" t="s">
        <v>864</v>
      </c>
      <c r="H42" s="14" t="s">
        <v>23</v>
      </c>
      <c r="I42" s="21"/>
    </row>
    <row r="43" ht="22.5" customHeight="1">
      <c r="A43" s="104" t="str">
        <f t="array" ref="A43">IFERROR(TEXT(INDEX(Base!E:E,MATCH(B43,Base!A:A,0)),"mm.dd.yyyy"),"mm.dd.yyyy")
</f>
        <v>01.27.2026</v>
      </c>
      <c r="B43" s="105" t="s">
        <v>57</v>
      </c>
      <c r="C43" s="106" t="str">
        <f t="array" ref="C43">IFERROR(INDEX(Base!I:I,MATCH(B43,Base!A:A,0)),"Nome do Cliente")
</f>
        <v>MARCOS FERREIRA</v>
      </c>
      <c r="D43" s="10" t="str">
        <f t="array" ref="D43">IFERROR(INDEX(Base!F:F,MATCH(B43,Base!A:A,0)),"Tipo do serv.")
</f>
        <v>Em Domicílio</v>
      </c>
      <c r="E43" s="10" t="str">
        <f t="array" ref="E43">IFERROR(INDEX(Base!G:G,MATCH(B43,Base!A:A,0)),"Modelo da Cond.")</f>
        <v>AJ050AXJ2KH/AZ</v>
      </c>
      <c r="F43" s="10" t="str">
        <f t="array" ref="F43">IFERROR(INDEX(Base!H:H,MATCH(B43,Base!A:A,0)),"N° Serial")</f>
        <v>02TGPXBY700025R</v>
      </c>
      <c r="G43" s="21" t="s">
        <v>852</v>
      </c>
      <c r="H43" s="14" t="s">
        <v>23</v>
      </c>
      <c r="I43" s="21"/>
    </row>
    <row r="44" ht="22.5" customHeight="1">
      <c r="A44" s="104" t="str">
        <f t="array" ref="A44">IFERROR(TEXT(INDEX(Base!E:E,MATCH(B44,Base!A:A,0)),"mm.dd.yyyy"),"mm.dd.yyyy")
</f>
        <v>02.02.2026</v>
      </c>
      <c r="B44" s="105" t="s">
        <v>70</v>
      </c>
      <c r="C44" s="106" t="str">
        <f t="array" ref="C44">IFERROR(INDEX(Base!I:I,MATCH(B44,Base!A:A,0)),"Nome do Cliente")
</f>
        <v>GABRIELA LUCIANO BORRI ARANDA</v>
      </c>
      <c r="D44" s="10" t="str">
        <f t="array" ref="D44">IFERROR(INDEX(Base!F:F,MATCH(B44,Base!A:A,0)),"Tipo do serv.")
</f>
        <v>Em Domicílio</v>
      </c>
      <c r="E44" s="10" t="str">
        <f t="array" ref="E44">IFERROR(INDEX(Base!G:G,MATCH(B44,Base!A:A,0)),"Modelo da Cond.")</f>
        <v>AJ100AXJ5KH/AZ</v>
      </c>
      <c r="F44" s="10" t="str">
        <f t="array" ref="F44">IFERROR(INDEX(Base!H:H,MATCH(B44,Base!A:A,0)),"N° Serial")</f>
        <v>BLK6P3CX400095V</v>
      </c>
      <c r="G44" s="21" t="s">
        <v>865</v>
      </c>
      <c r="H44" s="14" t="s">
        <v>23</v>
      </c>
      <c r="I44" s="21" t="s">
        <v>866</v>
      </c>
    </row>
    <row r="45" ht="22.5" customHeight="1">
      <c r="A45" s="104" t="str">
        <f t="array" ref="A45">IFERROR(TEXT(INDEX(Base!E:E,MATCH(B45,Base!A:A,0)),"mm.dd.yyyy"),"mm.dd.yyyy")
</f>
        <v>04.02.2026</v>
      </c>
      <c r="B45" s="105" t="s">
        <v>75</v>
      </c>
      <c r="C45" s="106" t="str">
        <f t="array" ref="C45">IFERROR(INDEX(Base!I:I,MATCH(B45,Base!A:A,0)),"Nome do Cliente")
</f>
        <v>Vinicius Milhan Hipolito</v>
      </c>
      <c r="D45" s="10" t="str">
        <f t="array" ref="D45">IFERROR(INDEX(Base!F:F,MATCH(B45,Base!A:A,0)),"Tipo do serv.")
</f>
        <v>Em Domicílio</v>
      </c>
      <c r="E45" s="10" t="str">
        <f t="array" ref="E45">IFERROR(INDEX(Base!G:G,MATCH(B45,Base!A:A,0)),"Modelo da Cond.")</f>
        <v>AC024DN4DKG/AZ</v>
      </c>
      <c r="F45" s="10" t="str">
        <f t="array" ref="F45">IFERROR(INDEX(Base!H:H,MATCH(B45,Base!A:A,0)),"N° Serial")</f>
        <v>030FPXAXA00141N</v>
      </c>
      <c r="G45" s="21" t="s">
        <v>867</v>
      </c>
      <c r="H45" s="14" t="s">
        <v>23</v>
      </c>
      <c r="I45" s="21"/>
    </row>
    <row r="46" ht="22.5" customHeight="1">
      <c r="A46" s="104" t="str">
        <f t="array" ref="A46">IFERROR(TEXT(INDEX(Base!E:E,MATCH(B46,Base!A:A,0)),"mm.dd.yyyy"),"mm.dd.yyyy")
</f>
        <v>01.14.2026</v>
      </c>
      <c r="B46" s="105" t="s">
        <v>48</v>
      </c>
      <c r="C46" s="106" t="str">
        <f t="array" ref="C46">IFERROR(INDEX(Base!I:I,MATCH(B46,Base!A:A,0)),"Nome do Cliente")
</f>
        <v>Thiago Nascimento Pontes</v>
      </c>
      <c r="D46" s="10" t="str">
        <f t="array" ref="D46">IFERROR(INDEX(Base!F:F,MATCH(B46,Base!A:A,0)),"Tipo do serv.")
</f>
        <v>Em Domicílio</v>
      </c>
      <c r="E46" s="10" t="str">
        <f t="array" ref="E46">IFERROR(INDEX(Base!G:G,MATCH(B46,Base!A:A,0)),"Modelo da Cond.")</f>
        <v>AJ100DXJ5KH/AZ</v>
      </c>
      <c r="F46" s="10" t="str">
        <f t="array" ref="F46">IFERROR(INDEX(Base!H:H,MATCH(B46,Base!A:A,0)),"N° Serial")</f>
        <v>0344PXBY500159H</v>
      </c>
      <c r="G46" s="21" t="s">
        <v>868</v>
      </c>
      <c r="H46" s="14" t="s">
        <v>23</v>
      </c>
      <c r="I46" s="21"/>
    </row>
    <row r="47" ht="22.5" customHeight="1">
      <c r="A47" s="104" t="str">
        <f t="array" ref="A47">IFERROR(TEXT(INDEX(Base!E:E,MATCH(B47,Base!A:A,0)),"mm.dd.yyyy"),"mm.dd.yyyy")
</f>
        <v>11.02.2026</v>
      </c>
      <c r="B47" s="105" t="s">
        <v>85</v>
      </c>
      <c r="C47" s="106" t="str">
        <f t="array" ref="C47">IFERROR(INDEX(Base!I:I,MATCH(B47,Base!A:A,0)),"Nome do Cliente")
</f>
        <v>ORPEC ENGENHARIA IND E COM LTDA</v>
      </c>
      <c r="D47" s="10" t="str">
        <f t="array" ref="D47">IFERROR(INDEX(Base!F:F,MATCH(B47,Base!A:A,0)),"Tipo do serv.")
</f>
        <v>Em Domicílio</v>
      </c>
      <c r="E47" s="10" t="str">
        <f t="array" ref="E47">IFERROR(INDEX(Base!G:G,MATCH(B47,Base!A:A,0)),"Modelo da Cond.")</f>
        <v>AJ080AXJ4KH/AZ</v>
      </c>
      <c r="F47" s="10" t="str">
        <f t="array" ref="F47">IFERROR(INDEX(Base!H:H,MATCH(B47,Base!A:A,0)),"N° Serial")</f>
        <v>02TMPXBXC00056P</v>
      </c>
      <c r="G47" s="21" t="s">
        <v>869</v>
      </c>
      <c r="H47" s="14" t="s">
        <v>23</v>
      </c>
      <c r="I47" s="21"/>
    </row>
    <row r="48" ht="22.5" customHeight="1">
      <c r="A48" s="104" t="str">
        <f t="array" ref="A48">IFERROR(TEXT(INDEX(Base!E:E,MATCH(B48,Base!A:A,0)),"mm.dd.yyyy"),"mm.dd.yyyy")
</f>
        <v>01.30.2026</v>
      </c>
      <c r="B48" s="105" t="s">
        <v>67</v>
      </c>
      <c r="C48" s="106" t="str">
        <f t="array" ref="C48">IFERROR(INDEX(Base!I:I,MATCH(B48,Base!A:A,0)),"Nome do Cliente")
</f>
        <v>GIULIA MADEIROS GUIDONI</v>
      </c>
      <c r="D48" s="10" t="str">
        <f t="array" ref="D48">IFERROR(INDEX(Base!F:F,MATCH(B48,Base!A:A,0)),"Tipo do serv.")
</f>
        <v>Em Domicílio</v>
      </c>
      <c r="E48" s="10" t="str">
        <f t="array" ref="E48">IFERROR(INDEX(Base!G:G,MATCH(B48,Base!A:A,0)),"Modelo da Cond.")</f>
        <v>AJ100DXJ5KH/AZ</v>
      </c>
      <c r="F48" s="10" t="str">
        <f t="array" ref="F48">IFERROR(INDEX(Base!H:H,MATCH(B48,Base!A:A,0)),"N° Serial")</f>
        <v>0344PXBY900196P</v>
      </c>
      <c r="G48" s="21" t="s">
        <v>870</v>
      </c>
      <c r="H48" s="14" t="s">
        <v>23</v>
      </c>
      <c r="I48" s="21"/>
    </row>
    <row r="49" ht="22.5" customHeight="1">
      <c r="A49" s="104" t="str">
        <f t="array" ref="A49">IFERROR(TEXT(INDEX(Base!E:E,MATCH(B49,Base!A:A,0)),"mm.dd.yyyy"),"mm.dd.yyyy")
</f>
        <v>02.19.2026</v>
      </c>
      <c r="B49" s="105" t="s">
        <v>94</v>
      </c>
      <c r="C49" s="106" t="str">
        <f t="array" ref="C49">IFERROR(INDEX(Base!I:I,MATCH(B49,Base!A:A,0)),"Nome do Cliente")
</f>
        <v>Fabricio Passadore de Oliveir</v>
      </c>
      <c r="D49" s="10" t="str">
        <f t="array" ref="D49">IFERROR(INDEX(Base!F:F,MATCH(B49,Base!A:A,0)),"Tipo do serv.")
</f>
        <v>Em Domicílio</v>
      </c>
      <c r="E49" s="10" t="str">
        <f t="array" ref="E49">IFERROR(INDEX(Base!G:G,MATCH(B49,Base!A:A,0)),"Modelo da Cond.")</f>
        <v>AJ068AXJ3KH/AZ</v>
      </c>
      <c r="F49" s="10" t="str">
        <f t="array" ref="F49">IFERROR(INDEX(Base!H:H,MATCH(B49,Base!A:A,0)),"N° Serial")</f>
        <v>02TKPXBX800038K</v>
      </c>
      <c r="G49" s="21" t="s">
        <v>871</v>
      </c>
      <c r="H49" s="14" t="s">
        <v>23</v>
      </c>
      <c r="I49" s="21"/>
    </row>
    <row r="50" ht="22.5" customHeight="1">
      <c r="A50" s="104" t="str">
        <f t="array" ref="A50">IFERROR(TEXT(INDEX(Base!E:E,MATCH(B50,Base!A:A,0)),"mm.dd.yyyy"),"mm.dd.yyyy")
</f>
        <v>02.20.2026</v>
      </c>
      <c r="B50" s="105" t="s">
        <v>96</v>
      </c>
      <c r="C50" s="106" t="str">
        <f t="array" ref="C50">IFERROR(INDEX(Base!I:I,MATCH(B50,Base!A:A,0)),"Nome do Cliente")
</f>
        <v>Wagner Oliveira</v>
      </c>
      <c r="D50" s="10" t="str">
        <f t="array" ref="D50">IFERROR(INDEX(Base!F:F,MATCH(B50,Base!A:A,0)),"Tipo do serv.")
</f>
        <v>Em Domicílio</v>
      </c>
      <c r="E50" s="10" t="str">
        <f t="array" ref="E50">IFERROR(INDEX(Base!G:G,MATCH(B50,Base!A:A,0)),"Modelo da Cond.")</f>
        <v>AC048DXADKG/AZ</v>
      </c>
      <c r="F50" s="10" t="str">
        <f t="array" ref="F50">IFERROR(INDEX(Base!H:H,MATCH(B50,Base!A:A,0)),"N° Serial")</f>
        <v>030YPXBY600011J</v>
      </c>
      <c r="G50" s="21" t="s">
        <v>872</v>
      </c>
      <c r="H50" s="14" t="s">
        <v>23</v>
      </c>
      <c r="I50" s="21"/>
    </row>
    <row r="51" ht="22.5" customHeight="1">
      <c r="A51" s="104" t="str">
        <f t="array" ref="A51">IFERROR(TEXT(INDEX(Base!E:E,MATCH(B51,Base!A:A,0)),"mm.dd.yyyy"),"mm.dd.yyyy")
</f>
        <v>12.03.2026</v>
      </c>
      <c r="B51" s="105" t="s">
        <v>184</v>
      </c>
      <c r="C51" s="106" t="str">
        <f t="array" ref="C51">IFERROR(INDEX(Base!I:I,MATCH(B51,Base!A:A,0)),"Nome do Cliente")
</f>
        <v>STR SERVICE COMERCIO</v>
      </c>
      <c r="D51" s="10" t="str">
        <f t="array" ref="D51">IFERROR(INDEX(Base!F:F,MATCH(B51,Base!A:A,0)),"Tipo do serv.")
</f>
        <v>Em Domicílio</v>
      </c>
      <c r="E51" s="10" t="str">
        <f t="array" ref="E51">IFERROR(INDEX(Base!G:G,MATCH(B51,Base!A:A,0)),"Modelo da Cond.")</f>
        <v>AM036TNVDKH/EU</v>
      </c>
      <c r="F51" s="10" t="str">
        <f t="array" ref="F51">IFERROR(INDEX(Base!H:H,MATCH(B51,Base!A:A,0)),"N° Serial")</f>
        <v>0HG7PDCX800881A</v>
      </c>
      <c r="G51" s="21" t="s">
        <v>873</v>
      </c>
      <c r="H51" s="14" t="s">
        <v>23</v>
      </c>
      <c r="I51" s="21"/>
    </row>
    <row r="52" ht="22.5" customHeight="1">
      <c r="A52" s="104" t="str">
        <f t="array" ref="A52">IFERROR(TEXT(INDEX(Base!E:E,MATCH(B52,Base!A:A,0)),"mm.dd.yyyy"),"mm.dd.yyyy")
</f>
        <v>03.13.2026</v>
      </c>
      <c r="B52" s="105" t="s">
        <v>195</v>
      </c>
      <c r="C52" s="106" t="str">
        <f t="array" ref="C52">IFERROR(INDEX(Base!I:I,MATCH(B52,Base!A:A,0)),"Nome do Cliente")
</f>
        <v>KARINA MANTOAN FERREIRA</v>
      </c>
      <c r="D52" s="10" t="str">
        <f t="array" ref="D52">IFERROR(INDEX(Base!F:F,MATCH(B52,Base!A:A,0)),"Tipo do serv.")
</f>
        <v>Em Domicílio</v>
      </c>
      <c r="E52" s="10" t="str">
        <f t="array" ref="E52">IFERROR(INDEX(Base!G:G,MATCH(B52,Base!A:A,0)),"Modelo da Cond.")</f>
        <v>AM048ANHPKH/AZ</v>
      </c>
      <c r="F52" s="10" t="str">
        <f t="array" ref="F52">IFERROR(INDEX(Base!H:H,MATCH(B52,Base!A:A,0)),"N° Serial")</f>
        <v>0VZUPALX700047L</v>
      </c>
      <c r="G52" s="21" t="s">
        <v>874</v>
      </c>
      <c r="H52" s="14" t="s">
        <v>23</v>
      </c>
      <c r="I52" s="21"/>
    </row>
    <row r="53" ht="22.5" customHeight="1">
      <c r="A53" s="104" t="str">
        <f t="array" ref="A53">IFERROR(TEXT(INDEX(Base!E:E,MATCH(B53,Base!A:A,0)),"mm.dd.yyyy"),"mm.dd.yyyy")
</f>
        <v>03.03.2026</v>
      </c>
      <c r="B53" s="105" t="s">
        <v>115</v>
      </c>
      <c r="C53" s="106" t="str">
        <f t="array" ref="C53">IFERROR(INDEX(Base!I:I,MATCH(B53,Base!A:A,0)),"Nome do Cliente")
</f>
        <v>FERNANDA HENRIQUES</v>
      </c>
      <c r="D53" s="10" t="str">
        <f t="array" ref="D53">IFERROR(INDEX(Base!F:F,MATCH(B53,Base!A:A,0)),"Tipo do serv.")
</f>
        <v>Em Domicílio</v>
      </c>
      <c r="E53" s="10" t="str">
        <f t="array" ref="E53">IFERROR(INDEX(Base!G:G,MATCH(B53,Base!A:A,0)),"Modelo da Cond.")</f>
        <v>AJ025ANAPKH/AZ</v>
      </c>
      <c r="F53" s="10" t="str">
        <f t="array" ref="F53">IFERROR(INDEX(Base!H:H,MATCH(B53,Base!A:A,0)),"N° Serial")</f>
        <v>02TDPXCX400643B</v>
      </c>
      <c r="G53" s="21" t="s">
        <v>875</v>
      </c>
      <c r="H53" s="14" t="s">
        <v>23</v>
      </c>
      <c r="I53" s="21"/>
    </row>
    <row r="54" ht="22.5" customHeight="1">
      <c r="A54" s="104" t="str">
        <f t="array" ref="A54">IFERROR(TEXT(INDEX(Base!E:E,MATCH(B54,Base!A:A,0)),"mm.dd.yyyy"),"mm.dd.yyyy")
</f>
        <v>10.03.2026</v>
      </c>
      <c r="B54" s="105" t="s">
        <v>168</v>
      </c>
      <c r="C54" s="106" t="str">
        <f t="array" ref="C54">IFERROR(INDEX(Base!I:I,MATCH(B54,Base!A:A,0)),"Nome do Cliente")
</f>
        <v>SOL PNEUS LTDA</v>
      </c>
      <c r="D54" s="10" t="str">
        <f t="array" ref="D54">IFERROR(INDEX(Base!F:F,MATCH(B54,Base!A:A,0)),"Tipo do serv.")
</f>
        <v>Em Domicílio</v>
      </c>
      <c r="E54" s="10" t="str">
        <f t="array" ref="E54">IFERROR(INDEX(Base!G:G,MATCH(B54,Base!A:A,0)),"Modelo da Cond.")</f>
        <v>AJ080AXJ4KH/AZ</v>
      </c>
      <c r="F54" s="10" t="str">
        <f t="array" ref="F54">IFERROR(INDEX(Base!H:H,MATCH(B54,Base!A:A,0)),"N° Serial")</f>
        <v>02TMPXBY100175V</v>
      </c>
      <c r="G54" s="21" t="s">
        <v>876</v>
      </c>
      <c r="H54" s="14" t="s">
        <v>23</v>
      </c>
      <c r="I54" s="21"/>
    </row>
    <row r="55" ht="22.5" customHeight="1">
      <c r="A55" s="104" t="str">
        <f t="array" ref="A55">IFERROR(TEXT(INDEX(Base!E:E,MATCH(B55,Base!A:A,0)),"mm.dd.yyyy"),"mm.dd.yyyy")
</f>
        <v>03.24.2026</v>
      </c>
      <c r="B55" s="105" t="s">
        <v>205</v>
      </c>
      <c r="C55" s="106" t="str">
        <f t="array" ref="C55">IFERROR(INDEX(Base!I:I,MATCH(B55,Base!A:A,0)),"Nome do Cliente")
</f>
        <v>Diogo Sesti</v>
      </c>
      <c r="D55" s="10" t="str">
        <f t="array" ref="D55">IFERROR(INDEX(Base!F:F,MATCH(B55,Base!A:A,0)),"Tipo do serv.")
</f>
        <v>Em Domicílio</v>
      </c>
      <c r="E55" s="10" t="str">
        <f t="array" ref="E55">IFERROR(INDEX(Base!G:G,MATCH(B55,Base!A:A,0)),"Modelo da Cond.")</f>
        <v>AR12DXFAAWKNAZ</v>
      </c>
      <c r="F55" s="10" t="str">
        <f t="array" ref="F55">IFERROR(INDEX(Base!H:H,MATCH(B55,Base!A:A,0)),"N° Serial")</f>
        <v>M000</v>
      </c>
      <c r="G55" s="21" t="s">
        <v>877</v>
      </c>
      <c r="H55" s="14" t="s">
        <v>23</v>
      </c>
      <c r="I55" s="21"/>
    </row>
    <row r="56" ht="22.5" customHeight="1">
      <c r="A56" s="104" t="str">
        <f t="array" ref="A56">IFERROR(TEXT(INDEX(Base!E:E,MATCH(B56,Base!A:A,0)),"mm.dd.yyyy"),"mm.dd.yyyy")
</f>
        <v>11.02.2026</v>
      </c>
      <c r="B56" s="105" t="s">
        <v>85</v>
      </c>
      <c r="C56" s="106" t="str">
        <f t="array" ref="C56">IFERROR(INDEX(Base!I:I,MATCH(B56,Base!A:A,0)),"Nome do Cliente")
</f>
        <v>ORPEC ENGENHARIA IND E COM LTDA</v>
      </c>
      <c r="D56" s="10" t="str">
        <f t="array" ref="D56">IFERROR(INDEX(Base!F:F,MATCH(B56,Base!A:A,0)),"Tipo do serv.")
</f>
        <v>Em Domicílio</v>
      </c>
      <c r="E56" s="10" t="str">
        <f t="array" ref="E56">IFERROR(INDEX(Base!G:G,MATCH(B56,Base!A:A,0)),"Modelo da Cond.")</f>
        <v>AJ080AXJ4KH/AZ</v>
      </c>
      <c r="F56" s="10" t="str">
        <f t="array" ref="F56">IFERROR(INDEX(Base!H:H,MATCH(B56,Base!A:A,0)),"N° Serial")</f>
        <v>02TMPXBXC00056P</v>
      </c>
      <c r="G56" s="21" t="s">
        <v>878</v>
      </c>
      <c r="H56" s="14"/>
      <c r="I56" s="21"/>
    </row>
    <row r="57" ht="22.5" customHeight="1">
      <c r="A57" s="104" t="str">
        <f t="array" ref="A57">IFERROR(TEXT(INDEX(Base!E:E,MATCH(B57,Base!A:A,0)),"mm.dd.yyyy"),"mm.dd.yyyy")
</f>
        <v>06.03.2026</v>
      </c>
      <c r="B57" s="105" t="s">
        <v>163</v>
      </c>
      <c r="C57" s="106" t="str">
        <f t="array" ref="C57">IFERROR(INDEX(Base!I:I,MATCH(B57,Base!A:A,0)),"Nome do Cliente")
</f>
        <v>Eduardo Bortolotti Costa</v>
      </c>
      <c r="D57" s="10" t="str">
        <f t="array" ref="D57">IFERROR(INDEX(Base!F:F,MATCH(B57,Base!A:A,0)),"Tipo do serv.")
</f>
        <v>Em Domicílio</v>
      </c>
      <c r="E57" s="10" t="str">
        <f t="array" ref="E57">IFERROR(INDEX(Base!G:G,MATCH(B57,Base!A:A,0)),"Modelo da Cond.")</f>
        <v>AC060DNCDKG/AZ</v>
      </c>
      <c r="F57" s="10" t="str">
        <f t="array" ref="F57">IFERROR(INDEX(Base!H:H,MATCH(B57,Base!A:A,0)),"N° Serial")</f>
        <v>0311PXAX100106K</v>
      </c>
      <c r="G57" s="21" t="s">
        <v>875</v>
      </c>
      <c r="H57" s="14" t="s">
        <v>23</v>
      </c>
      <c r="I57" s="21"/>
    </row>
    <row r="58" ht="22.5" customHeight="1">
      <c r="A58" s="104" t="str">
        <f t="array" ref="A58">IFERROR(TEXT(INDEX(Base!E:E,MATCH(B58,Base!A:A,0)),"mm.dd.yyyy"),"mm.dd.yyyy")
</f>
        <v>12.03.2026</v>
      </c>
      <c r="B58" s="105" t="s">
        <v>185</v>
      </c>
      <c r="C58" s="106" t="str">
        <f t="array" ref="C58">IFERROR(INDEX(Base!I:I,MATCH(B58,Base!A:A,0)),"Nome do Cliente")
</f>
        <v>JOSE RICARDO FABBI</v>
      </c>
      <c r="D58" s="10" t="str">
        <f t="array" ref="D58">IFERROR(INDEX(Base!F:F,MATCH(B58,Base!A:A,0)),"Tipo do serv.")
</f>
        <v>Em Domicílio</v>
      </c>
      <c r="E58" s="10" t="str">
        <f t="array" ref="E58">IFERROR(INDEX(Base!G:G,MATCH(B58,Base!A:A,0)),"Modelo da Cond.")</f>
        <v>AC060DXADKG/AZ</v>
      </c>
      <c r="F58" s="10" t="str">
        <f t="array" ref="F58">IFERROR(INDEX(Base!H:H,MATCH(B58,Base!A:A,0)),"N° Serial")</f>
        <v>0315PXBX900232L</v>
      </c>
      <c r="G58" s="21" t="s">
        <v>879</v>
      </c>
      <c r="H58" s="14" t="s">
        <v>23</v>
      </c>
      <c r="I58" s="21"/>
    </row>
    <row r="59" ht="22.5" customHeight="1">
      <c r="A59" s="104" t="str">
        <f t="array" ref="A59">IFERROR(TEXT(INDEX(Base!E:E,MATCH(B59,Base!A:A,0)),"mm.dd.yyyy"),"mm.dd.yyyy")
</f>
        <v>03.16.2026</v>
      </c>
      <c r="B59" s="105" t="s">
        <v>199</v>
      </c>
      <c r="C59" s="106" t="str">
        <f t="array" ref="C59">IFERROR(INDEX(Base!I:I,MATCH(B59,Base!A:A,0)),"Nome do Cliente")
</f>
        <v>BR CAPITAL DISTRIBUIDORA DE TIT</v>
      </c>
      <c r="D59" s="10" t="str">
        <f t="array" ref="D59">IFERROR(INDEX(Base!F:F,MATCH(B59,Base!A:A,0)),"Tipo do serv.")
</f>
        <v>Em Domicílio</v>
      </c>
      <c r="E59" s="10" t="str">
        <f t="array" ref="E59">IFERROR(INDEX(Base!G:G,MATCH(B59,Base!A:A,0)),"Modelo da Cond.")</f>
        <v>AM036KN4DCH/AA</v>
      </c>
      <c r="F59" s="10" t="str">
        <f t="array" ref="F59">IFERROR(INDEX(Base!H:H,MATCH(B59,Base!A:A,0)),"N° Serial")</f>
        <v>M000</v>
      </c>
      <c r="G59" s="21" t="s">
        <v>880</v>
      </c>
      <c r="H59" s="14" t="s">
        <v>23</v>
      </c>
      <c r="I59" s="21"/>
    </row>
    <row r="60" ht="22.5" customHeight="1">
      <c r="A60" s="104" t="str">
        <f t="array" ref="A60">IFERROR(TEXT(INDEX(Base!E:E,MATCH(B60,Base!A:A,0)),"mm.dd.yyyy"),"mm.dd.yyyy")
</f>
        <v>03.30.2026</v>
      </c>
      <c r="B60" s="105" t="s">
        <v>221</v>
      </c>
      <c r="C60" s="106" t="str">
        <f t="array" ref="C60">IFERROR(INDEX(Base!I:I,MATCH(B60,Base!A:A,0)),"Nome do Cliente")
</f>
        <v>Laura Müller Valente</v>
      </c>
      <c r="D60" s="10" t="str">
        <f t="array" ref="D60">IFERROR(INDEX(Base!F:F,MATCH(B60,Base!A:A,0)),"Tipo do serv.")
</f>
        <v>Em Domicílio</v>
      </c>
      <c r="E60" s="10" t="str">
        <f t="array" ref="E60">IFERROR(INDEX(Base!G:G,MATCH(B60,Base!A:A,0)),"Modelo da Cond.")</f>
        <v>AM060TXMDKH/AZ</v>
      </c>
      <c r="F60" s="10" t="str">
        <f t="array" ref="F60">IFERROR(INDEX(Base!H:H,MATCH(B60,Base!A:A,0)),"N° Serial")</f>
        <v>0V5TPAFXA00013N</v>
      </c>
      <c r="G60" s="21" t="s">
        <v>881</v>
      </c>
      <c r="H60" s="14" t="s">
        <v>23</v>
      </c>
      <c r="I60" s="21"/>
    </row>
    <row r="61" ht="22.5" customHeight="1">
      <c r="A61" s="104" t="str">
        <f t="array" ref="A61">IFERROR(TEXT(INDEX(Base!E:E,MATCH(B61,Base!A:A,0)),"mm.dd.yyyy"),"mm.dd.yyyy")
</f>
        <v>03.26.2026</v>
      </c>
      <c r="B61" s="105" t="s">
        <v>208</v>
      </c>
      <c r="C61" s="106" t="str">
        <f t="array" ref="C61">IFERROR(INDEX(Base!I:I,MATCH(B61,Base!A:A,0)),"Nome do Cliente")
</f>
        <v>Luis Alfredo Olbertz</v>
      </c>
      <c r="D61" s="10" t="str">
        <f t="array" ref="D61">IFERROR(INDEX(Base!F:F,MATCH(B61,Base!A:A,0)),"Tipo do serv.")
</f>
        <v>Em Domicílio</v>
      </c>
      <c r="E61" s="10" t="str">
        <f t="array" ref="E61">IFERROR(INDEX(Base!G:G,MATCH(B61,Base!A:A,0)),"Modelo da Cond.")</f>
        <v>AJ025ANAPKH2AZ</v>
      </c>
      <c r="F61" s="10" t="str">
        <f t="array" ref="F61">IFERROR(INDEX(Base!H:H,MATCH(B61,Base!A:A,0)),"N° Serial")</f>
        <v>0321PXAX600359L</v>
      </c>
      <c r="G61" s="21" t="s">
        <v>882</v>
      </c>
      <c r="H61" s="14" t="s">
        <v>23</v>
      </c>
      <c r="I61" s="21"/>
    </row>
    <row r="62" ht="22.5" customHeight="1">
      <c r="A62" s="104" t="str">
        <f t="array" ref="A62">IFERROR(TEXT(INDEX(Base!E:E,MATCH(B62,Base!A:A,0)),"mm.dd.yyyy"),"mm.dd.yyyy")
</f>
        <v>03.30.2026</v>
      </c>
      <c r="B62" s="105" t="s">
        <v>209</v>
      </c>
      <c r="C62" s="106" t="str">
        <f t="array" ref="C62">IFERROR(INDEX(Base!I:I,MATCH(B62,Base!A:A,0)),"Nome do Cliente")
</f>
        <v>Luis Alfredo Olbertz</v>
      </c>
      <c r="D62" s="10" t="str">
        <f t="array" ref="D62">IFERROR(INDEX(Base!F:F,MATCH(B62,Base!A:A,0)),"Tipo do serv.")
</f>
        <v>Em Domicílio</v>
      </c>
      <c r="E62" s="10" t="str">
        <f t="array" ref="E62">IFERROR(INDEX(Base!G:G,MATCH(B62,Base!A:A,0)),"Modelo da Cond.")</f>
        <v>AJ050AXJ2KH/AZ</v>
      </c>
      <c r="F62" s="10" t="str">
        <f t="array" ref="F62">IFERROR(INDEX(Base!H:H,MATCH(B62,Base!A:A,0)),"N° Serial")</f>
        <v>02TGPXDX700267R</v>
      </c>
      <c r="G62" s="21" t="s">
        <v>883</v>
      </c>
      <c r="H62" s="14" t="s">
        <v>23</v>
      </c>
      <c r="I62" s="21"/>
    </row>
    <row r="63" ht="22.5" customHeight="1">
      <c r="A63" s="104" t="str">
        <f t="array" ref="A63">IFERROR(TEXT(INDEX(Base!E:E,MATCH(B63,Base!A:A,0)),"mm.dd.yyyy"),"mm.dd.yyyy")
</f>
        <v>12.19.2025</v>
      </c>
      <c r="B63" s="105" t="s">
        <v>34</v>
      </c>
      <c r="C63" s="106" t="str">
        <f t="array" ref="C63">IFERROR(INDEX(Base!I:I,MATCH(B63,Base!A:A,0)),"Nome do Cliente")
</f>
        <v>Eliane Vignatti Avancini</v>
      </c>
      <c r="D63" s="10" t="str">
        <f t="array" ref="D63">IFERROR(INDEX(Base!F:F,MATCH(B63,Base!A:A,0)),"Tipo do serv.")
</f>
        <v>Em Domicílio</v>
      </c>
      <c r="E63" s="10" t="str">
        <f t="array" ref="E63">IFERROR(INDEX(Base!G:G,MATCH(B63,Base!A:A,0)),"Modelo da Cond.")</f>
        <v>AC048TN4DKC/AZ</v>
      </c>
      <c r="F63" s="10" t="str">
        <f t="array" ref="F63">IFERROR(INDEX(Base!H:H,MATCH(B63,Base!A:A,0)),"N° Serial")</f>
        <v>BF09P3HW800039W</v>
      </c>
      <c r="G63" s="21" t="s">
        <v>884</v>
      </c>
      <c r="H63" s="14" t="s">
        <v>23</v>
      </c>
      <c r="I63" s="21"/>
    </row>
    <row r="64" ht="22.5" customHeight="1">
      <c r="A64" s="104" t="str">
        <f t="array" ref="A64">IFERROR(TEXT(INDEX(Base!E:E,MATCH(B64,Base!A:A,0)),"mm.dd.yyyy"),"mm.dd.yyyy")
</f>
        <v>07.04.2026</v>
      </c>
      <c r="B64" s="105" t="s">
        <v>231</v>
      </c>
      <c r="C64" s="106" t="str">
        <f t="array" ref="C64">IFERROR(INDEX(Base!I:I,MATCH(B64,Base!A:A,0)),"Nome do Cliente")
</f>
        <v>Diogo Sesti</v>
      </c>
      <c r="D64" s="10" t="str">
        <f t="array" ref="D64">IFERROR(INDEX(Base!F:F,MATCH(B64,Base!A:A,0)),"Tipo do serv.")
</f>
        <v>Em Domicílio</v>
      </c>
      <c r="E64" s="10" t="str">
        <f t="array" ref="E64">IFERROR(INDEX(Base!G:G,MATCH(B64,Base!A:A,0)),"Modelo da Cond.")</f>
        <v>AR24DXFAAWKXAZ</v>
      </c>
      <c r="F64" s="10" t="str">
        <f t="array" ref="F64">IFERROR(INDEX(Base!H:H,MATCH(B64,Base!A:A,0)),"N° Serial")</f>
        <v>033QPXBY200357R</v>
      </c>
      <c r="G64" s="21" t="s">
        <v>826</v>
      </c>
      <c r="H64" s="14" t="s">
        <v>23</v>
      </c>
      <c r="I64" s="21"/>
    </row>
    <row r="65" ht="22.5" customHeight="1">
      <c r="A65" s="104" t="str">
        <f t="array" ref="A65">IFERROR(TEXT(INDEX(Base!E:E,MATCH(B65,Base!A:A,0)),"mm.dd.yyyy"),"mm.dd.yyyy")
</f>
        <v>01.14.2026</v>
      </c>
      <c r="B65" s="105" t="s">
        <v>48</v>
      </c>
      <c r="C65" s="106" t="str">
        <f t="array" ref="C65">IFERROR(INDEX(Base!I:I,MATCH(B65,Base!A:A,0)),"Nome do Cliente")
</f>
        <v>Thiago Nascimento Pontes</v>
      </c>
      <c r="D65" s="10" t="str">
        <f t="array" ref="D65">IFERROR(INDEX(Base!F:F,MATCH(B65,Base!A:A,0)),"Tipo do serv.")
</f>
        <v>Em Domicílio</v>
      </c>
      <c r="E65" s="10" t="str">
        <f t="array" ref="E65">IFERROR(INDEX(Base!G:G,MATCH(B65,Base!A:A,0)),"Modelo da Cond.")</f>
        <v>AJ100DXJ5KH/AZ</v>
      </c>
      <c r="F65" s="10" t="str">
        <f t="array" ref="F65">IFERROR(INDEX(Base!H:H,MATCH(B65,Base!A:A,0)),"N° Serial")</f>
        <v>0344PXBY500159H</v>
      </c>
      <c r="G65" s="8" t="s">
        <v>885</v>
      </c>
      <c r="H65" s="14" t="s">
        <v>23</v>
      </c>
      <c r="I65" s="21"/>
    </row>
    <row r="66" ht="22.5" customHeight="1">
      <c r="A66" s="104" t="str">
        <f t="array" ref="A66">IFERROR(TEXT(INDEX(Base!E:E,MATCH(B66,Base!A:A,0)),"mm.dd.yyyy"),"mm.dd.yyyy")
</f>
        <v>01.19.2026</v>
      </c>
      <c r="B66" s="8" t="s">
        <v>52</v>
      </c>
      <c r="C66" s="106" t="str">
        <f t="array" ref="C66">IFERROR(INDEX(Base!I:I,MATCH(B66,Base!A:A,0)),"Nome do Cliente")
</f>
        <v>William Robert Nahra Filho</v>
      </c>
      <c r="D66" s="10" t="str">
        <f t="array" ref="D66">IFERROR(INDEX(Base!F:F,MATCH(B66,Base!A:A,0)),"Tipo do serv.")
</f>
        <v>Em Domicílio</v>
      </c>
      <c r="E66" s="10" t="str">
        <f t="array" ref="E66">IFERROR(INDEX(Base!G:G,MATCH(B66,Base!A:A,0)),"Modelo da Cond.")</f>
        <v>AC024DN4DKG/AZ</v>
      </c>
      <c r="F66" s="10" t="str">
        <f t="array" ref="F66">IFERROR(INDEX(Base!H:H,MATCH(B66,Base!A:A,0)),"N° Serial")</f>
        <v>030FPXAX200036P</v>
      </c>
      <c r="G66" s="8" t="s">
        <v>886</v>
      </c>
      <c r="H66" s="14" t="s">
        <v>23</v>
      </c>
      <c r="I66" s="21"/>
    </row>
    <row r="67" ht="22.5" customHeight="1">
      <c r="A67" s="104" t="str">
        <f t="array" ref="A67">IFERROR(TEXT(INDEX(Base!E:E,MATCH(B67,Base!A:A,0)),"mm.dd.yyyy"),"mm.dd.yyyy")
</f>
        <v>06.03.2026</v>
      </c>
      <c r="B67" s="8" t="s">
        <v>161</v>
      </c>
      <c r="C67" s="106" t="str">
        <f t="array" ref="C67">IFERROR(INDEX(Base!I:I,MATCH(B67,Base!A:A,0)),"Nome do Cliente")
</f>
        <v>Enzo Sarolli vilar</v>
      </c>
      <c r="D67" s="10" t="str">
        <f t="array" ref="D67">IFERROR(INDEX(Base!F:F,MATCH(B67,Base!A:A,0)),"Tipo do serv.")
</f>
        <v>Em Domicílio</v>
      </c>
      <c r="E67" s="10" t="str">
        <f t="array" ref="E67">IFERROR(INDEX(Base!G:G,MATCH(B67,Base!A:A,0)),"Modelo da Cond.")</f>
        <v>AC018DXADKG/AZ</v>
      </c>
      <c r="F67" s="10" t="str">
        <f t="array" ref="F67">IFERROR(INDEX(Base!H:H,MATCH(B67,Base!A:A,0)),"N° Serial")</f>
        <v>030DPXBY900054V</v>
      </c>
      <c r="G67" s="8" t="s">
        <v>887</v>
      </c>
      <c r="H67" s="14"/>
      <c r="I67" s="21"/>
    </row>
    <row r="68" ht="22.5" customHeight="1">
      <c r="A68" s="104" t="str">
        <f t="array" ref="A68">IFERROR(TEXT(INDEX(Base!E:E,MATCH(B68,Base!A:A,0)),"mm.dd.yyyy"),"mm.dd.yyyy")
</f>
        <v>03.03.2026</v>
      </c>
      <c r="B68" s="8" t="s">
        <v>113</v>
      </c>
      <c r="C68" s="106" t="str">
        <f t="array" ref="C68">IFERROR(INDEX(Base!I:I,MATCH(B68,Base!A:A,0)),"Nome do Cliente")
</f>
        <v>MICHELLE TAWIL ZEIN</v>
      </c>
      <c r="D68" s="10" t="str">
        <f t="array" ref="D68">IFERROR(INDEX(Base!F:F,MATCH(B68,Base!A:A,0)),"Tipo do serv.")
</f>
        <v>Em Domicílio</v>
      </c>
      <c r="E68" s="10" t="str">
        <f t="array" ref="E68">IFERROR(INDEX(Base!G:G,MATCH(B68,Base!A:A,0)),"Modelo da Cond.")</f>
        <v>AJ050AXJ2KH/AZ</v>
      </c>
      <c r="F68" s="10" t="str">
        <f t="array" ref="F68">IFERROR(INDEX(Base!H:H,MATCH(B68,Base!A:A,0)),"N° Serial")</f>
        <v>02TGPXBX600281Z</v>
      </c>
      <c r="G68" s="8" t="s">
        <v>826</v>
      </c>
      <c r="H68" s="14"/>
      <c r="I68" s="21"/>
    </row>
    <row r="69" ht="22.5" customHeight="1">
      <c r="A69" s="104" t="str">
        <f t="array" ref="A69">IFERROR(TEXT(INDEX(Base!E:E,MATCH(B69,Base!A:A,0)),"mm.dd.yyyy"),"mm.dd.yyyy")
</f>
        <v>01.16.2026</v>
      </c>
      <c r="B69" s="8" t="s">
        <v>51</v>
      </c>
      <c r="C69" s="106" t="str">
        <f t="array" ref="C69">IFERROR(INDEX(Base!I:I,MATCH(B69,Base!A:A,0)),"Nome do Cliente")
</f>
        <v>Mathias Braga</v>
      </c>
      <c r="D69" s="10" t="str">
        <f t="array" ref="D69">IFERROR(INDEX(Base!F:F,MATCH(B69,Base!A:A,0)),"Tipo do serv.")
</f>
        <v>Em Domicílio</v>
      </c>
      <c r="E69" s="10" t="str">
        <f t="array" ref="E69">IFERROR(INDEX(Base!G:G,MATCH(B69,Base!A:A,0)),"Modelo da Cond.")</f>
        <v>AJ035ANAPKH2AZ</v>
      </c>
      <c r="F69" s="10" t="str">
        <f t="array" ref="F69">IFERROR(INDEX(Base!H:H,MATCH(B69,Base!A:A,0)),"N° Serial")</f>
        <v>M000</v>
      </c>
      <c r="G69" s="8"/>
      <c r="H69" s="14"/>
      <c r="I69" s="21"/>
    </row>
    <row r="70" ht="22.5" customHeight="1">
      <c r="A70" s="104" t="str">
        <f t="array" ref="A70">IFERROR(TEXT(INDEX(Base!E:E,MATCH(B70,Base!A:A,0)),"mm.dd.yyyy"),"mm.dd.yyyy")
</f>
        <v>mm.dd.yyyy</v>
      </c>
      <c r="B70" s="8"/>
      <c r="C70" s="106" t="str">
        <f t="array" ref="C70">IFERROR(INDEX(Base!I:I,MATCH(B70,Base!A:A,0)),"Nome do Cliente")
</f>
        <v>Nome do Cliente</v>
      </c>
      <c r="D70" s="10" t="str">
        <f t="array" ref="D70">IFERROR(INDEX(Base!F:F,MATCH(B70,Base!A:A,0)),"Tipo do serv.")
</f>
        <v>Tipo do serv.</v>
      </c>
      <c r="E70" s="10" t="str">
        <f t="array" ref="E70">IFERROR(INDEX(Base!G:G,MATCH(B70,Base!A:A,0)),"Modelo da Cond.")</f>
        <v>Modelo da Cond.</v>
      </c>
      <c r="F70" s="10" t="str">
        <f t="array" ref="F70">IFERROR(INDEX(Base!H:H,MATCH(B70,Base!A:A,0)),"N° Serial")</f>
        <v>N° Serial</v>
      </c>
      <c r="G70" s="8"/>
      <c r="H70" s="14"/>
      <c r="I70" s="21"/>
    </row>
    <row r="71" ht="22.5" customHeight="1">
      <c r="A71" s="104" t="str">
        <f t="array" ref="A71">IFERROR(TEXT(INDEX(Base!E:E,MATCH(B71,Base!A:A,0)),"mm.dd.yyyy"),"mm.dd.yyyy")
</f>
        <v>mm.dd.yyyy</v>
      </c>
      <c r="B71" s="8"/>
      <c r="C71" s="106" t="str">
        <f t="array" ref="C71">IFERROR(INDEX(Base!I:I,MATCH(B71,Base!A:A,0)),"Nome do Cliente")
</f>
        <v>Nome do Cliente</v>
      </c>
      <c r="D71" s="10" t="str">
        <f t="array" ref="D71">IFERROR(INDEX(Base!F:F,MATCH(B71,Base!A:A,0)),"Tipo do serv.")
</f>
        <v>Tipo do serv.</v>
      </c>
      <c r="E71" s="10" t="str">
        <f t="array" ref="E71">IFERROR(INDEX(Base!G:G,MATCH(B71,Base!A:A,0)),"Modelo da Cond.")</f>
        <v>Modelo da Cond.</v>
      </c>
      <c r="F71" s="10" t="str">
        <f t="array" ref="F71">IFERROR(INDEX(Base!H:H,MATCH(B71,Base!A:A,0)),"N° Serial")</f>
        <v>N° Serial</v>
      </c>
      <c r="G71" s="8"/>
      <c r="H71" s="14"/>
      <c r="I71" s="21"/>
    </row>
    <row r="72" ht="22.5" customHeight="1">
      <c r="A72" s="104" t="str">
        <f t="array" ref="A72">IFERROR(TEXT(INDEX(Base!E:E,MATCH(B72,Base!A:A,0)),"mm.dd.yyyy"),"mm.dd.yyyy")
</f>
        <v>mm.dd.yyyy</v>
      </c>
      <c r="B72" s="8"/>
      <c r="C72" s="106" t="str">
        <f t="array" ref="C72">IFERROR(INDEX(Base!I:I,MATCH(B72,Base!A:A,0)),"Nome do Cliente")
</f>
        <v>Nome do Cliente</v>
      </c>
      <c r="D72" s="10" t="str">
        <f t="array" ref="D72">IFERROR(INDEX(Base!F:F,MATCH(B72,Base!A:A,0)),"Tipo do serv.")
</f>
        <v>Tipo do serv.</v>
      </c>
      <c r="E72" s="10" t="str">
        <f t="array" ref="E72">IFERROR(INDEX(Base!G:G,MATCH(B72,Base!A:A,0)),"Modelo da Cond.")</f>
        <v>Modelo da Cond.</v>
      </c>
      <c r="F72" s="10" t="str">
        <f t="array" ref="F72">IFERROR(INDEX(Base!H:H,MATCH(B72,Base!A:A,0)),"N° Serial")</f>
        <v>N° Serial</v>
      </c>
      <c r="G72" s="8"/>
      <c r="H72" s="14"/>
      <c r="I72" s="21"/>
    </row>
    <row r="73" ht="22.5" customHeight="1">
      <c r="A73" s="104" t="str">
        <f t="array" ref="A73">IFERROR(TEXT(INDEX(Base!E:E,MATCH(B73,Base!A:A,0)),"mm.dd.yyyy"),"mm.dd.yyyy")
</f>
        <v>mm.dd.yyyy</v>
      </c>
      <c r="B73" s="8"/>
      <c r="C73" s="106" t="str">
        <f t="array" ref="C73">IFERROR(INDEX(Base!I:I,MATCH(B73,Base!A:A,0)),"Nome do Cliente")
</f>
        <v>Nome do Cliente</v>
      </c>
      <c r="D73" s="10" t="str">
        <f t="array" ref="D73">IFERROR(INDEX(Base!F:F,MATCH(B73,Base!A:A,0)),"Tipo do serv.")
</f>
        <v>Tipo do serv.</v>
      </c>
      <c r="E73" s="10" t="str">
        <f t="array" ref="E73">IFERROR(INDEX(Base!G:G,MATCH(B73,Base!A:A,0)),"Modelo da Cond.")</f>
        <v>Modelo da Cond.</v>
      </c>
      <c r="F73" s="10" t="str">
        <f t="array" ref="F73">IFERROR(INDEX(Base!H:H,MATCH(B73,Base!A:A,0)),"N° Serial")</f>
        <v>N° Serial</v>
      </c>
      <c r="G73" s="8"/>
      <c r="H73" s="14"/>
      <c r="I73" s="21"/>
    </row>
    <row r="74" ht="22.5" customHeight="1">
      <c r="A74" s="104" t="str">
        <f t="array" ref="A74">IFERROR(TEXT(INDEX(Base!E:E,MATCH(B74,Base!A:A,0)),"mm.dd.yyyy"),"mm.dd.yyyy")
</f>
        <v>mm.dd.yyyy</v>
      </c>
      <c r="B74" s="8"/>
      <c r="C74" s="106" t="str">
        <f t="array" ref="C74">IFERROR(INDEX(Base!I:I,MATCH(B74,Base!A:A,0)),"Nome do Cliente")
</f>
        <v>Nome do Cliente</v>
      </c>
      <c r="D74" s="10" t="str">
        <f t="array" ref="D74">IFERROR(INDEX(Base!F:F,MATCH(B74,Base!A:A,0)),"Tipo do serv.")
</f>
        <v>Tipo do serv.</v>
      </c>
      <c r="E74" s="10" t="str">
        <f t="array" ref="E74">IFERROR(INDEX(Base!G:G,MATCH(B74,Base!A:A,0)),"Modelo da Cond.")</f>
        <v>Modelo da Cond.</v>
      </c>
      <c r="F74" s="10" t="str">
        <f t="array" ref="F74">IFERROR(INDEX(Base!H:H,MATCH(B74,Base!A:A,0)),"N° Serial")</f>
        <v>N° Serial</v>
      </c>
      <c r="G74" s="8"/>
      <c r="H74" s="14"/>
      <c r="I74" s="21"/>
    </row>
    <row r="75" ht="22.5" customHeight="1">
      <c r="A75" s="104" t="str">
        <f t="array" ref="A75">IFERROR(TEXT(INDEX(Base!E:E,MATCH(B75,Base!A:A,0)),"mm.dd.yyyy"),"mm.dd.yyyy")
</f>
        <v>mm.dd.yyyy</v>
      </c>
      <c r="B75" s="8"/>
      <c r="C75" s="106" t="str">
        <f t="array" ref="C75">IFERROR(INDEX(Base!I:I,MATCH(B75,Base!A:A,0)),"Nome do Cliente")
</f>
        <v>Nome do Cliente</v>
      </c>
      <c r="D75" s="10" t="str">
        <f t="array" ref="D75">IFERROR(INDEX(Base!F:F,MATCH(B75,Base!A:A,0)),"Tipo do serv.")
</f>
        <v>Tipo do serv.</v>
      </c>
      <c r="E75" s="10" t="str">
        <f t="array" ref="E75">IFERROR(INDEX(Base!G:G,MATCH(B75,Base!A:A,0)),"Modelo da Cond.")</f>
        <v>Modelo da Cond.</v>
      </c>
      <c r="F75" s="10" t="str">
        <f t="array" ref="F75">IFERROR(INDEX(Base!H:H,MATCH(B75,Base!A:A,0)),"N° Serial")</f>
        <v>N° Serial</v>
      </c>
      <c r="G75" s="8"/>
      <c r="H75" s="14"/>
      <c r="I75" s="21"/>
    </row>
    <row r="76" ht="22.5" customHeight="1">
      <c r="A76" s="104" t="str">
        <f t="array" ref="A76">IFERROR(TEXT(INDEX(Base!E:E,MATCH(B76,Base!A:A,0)),"mm.dd.yyyy"),"mm.dd.yyyy")
</f>
        <v>mm.dd.yyyy</v>
      </c>
      <c r="B76" s="8"/>
      <c r="C76" s="106" t="str">
        <f t="array" ref="C76">IFERROR(INDEX(Base!I:I,MATCH(B76,Base!A:A,0)),"Nome do Cliente")
</f>
        <v>Nome do Cliente</v>
      </c>
      <c r="D76" s="10" t="str">
        <f t="array" ref="D76">IFERROR(INDEX(Base!F:F,MATCH(B76,Base!A:A,0)),"Tipo do serv.")
</f>
        <v>Tipo do serv.</v>
      </c>
      <c r="E76" s="10" t="str">
        <f t="array" ref="E76">IFERROR(INDEX(Base!G:G,MATCH(B76,Base!A:A,0)),"Modelo da Cond.")</f>
        <v>Modelo da Cond.</v>
      </c>
      <c r="F76" s="10" t="str">
        <f t="array" ref="F76">IFERROR(INDEX(Base!H:H,MATCH(B76,Base!A:A,0)),"N° Serial")</f>
        <v>N° Serial</v>
      </c>
      <c r="G76" s="8"/>
      <c r="H76" s="14"/>
      <c r="I76" s="21"/>
    </row>
    <row r="77" ht="22.5" customHeight="1">
      <c r="A77" s="104" t="str">
        <f t="array" ref="A77">IFERROR(TEXT(INDEX(Base!E:E,MATCH(B77,Base!A:A,0)),"mm.dd.yyyy"),"mm.dd.yyyy")
</f>
        <v>mm.dd.yyyy</v>
      </c>
      <c r="B77" s="8"/>
      <c r="C77" s="106" t="str">
        <f t="array" ref="C77">IFERROR(INDEX(Base!I:I,MATCH(B77,Base!A:A,0)),"Nome do Cliente")
</f>
        <v>Nome do Cliente</v>
      </c>
      <c r="D77" s="10" t="str">
        <f t="array" ref="D77">IFERROR(INDEX(Base!F:F,MATCH(B77,Base!A:A,0)),"Tipo do serv.")
</f>
        <v>Tipo do serv.</v>
      </c>
      <c r="E77" s="10" t="str">
        <f t="array" ref="E77">IFERROR(INDEX(Base!G:G,MATCH(B77,Base!A:A,0)),"Modelo da Cond.")</f>
        <v>Modelo da Cond.</v>
      </c>
      <c r="F77" s="10" t="str">
        <f t="array" ref="F77">IFERROR(INDEX(Base!H:H,MATCH(B77,Base!A:A,0)),"N° Serial")</f>
        <v>N° Serial</v>
      </c>
      <c r="G77" s="8"/>
      <c r="H77" s="14"/>
      <c r="I77" s="21"/>
    </row>
    <row r="78" ht="22.5" customHeight="1">
      <c r="A78" s="104" t="str">
        <f t="array" ref="A78">IFERROR(TEXT(INDEX(Base!E:E,MATCH(B78,Base!A:A,0)),"mm.dd.yyyy"),"mm.dd.yyyy")
</f>
        <v>mm.dd.yyyy</v>
      </c>
      <c r="B78" s="8"/>
      <c r="C78" s="106" t="str">
        <f t="array" ref="C78">IFERROR(INDEX(Base!I:I,MATCH(B78,Base!A:A,0)),"Nome do Cliente")
</f>
        <v>Nome do Cliente</v>
      </c>
      <c r="D78" s="10" t="str">
        <f t="array" ref="D78">IFERROR(INDEX(Base!F:F,MATCH(B78,Base!A:A,0)),"Tipo do serv.")
</f>
        <v>Tipo do serv.</v>
      </c>
      <c r="E78" s="10" t="str">
        <f t="array" ref="E78">IFERROR(INDEX(Base!G:G,MATCH(B78,Base!A:A,0)),"Modelo da Cond.")</f>
        <v>Modelo da Cond.</v>
      </c>
      <c r="F78" s="10" t="str">
        <f t="array" ref="F78">IFERROR(INDEX(Base!H:H,MATCH(B78,Base!A:A,0)),"N° Serial")</f>
        <v>N° Serial</v>
      </c>
      <c r="G78" s="8"/>
      <c r="H78" s="14"/>
      <c r="I78" s="21"/>
    </row>
  </sheetData>
  <dataValidations>
    <dataValidation type="list" allowBlank="1" sqref="H2:H78">
      <formula1>"Sim,Não"</formula1>
    </dataValidation>
    <dataValidation allowBlank="1" showDropDown="1" sqref="B2:C78 G2:G78"/>
    <dataValidation allowBlank="1" showDropDown="1" sqref="I2:I78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13"/>
    <col customWidth="1" min="3" max="3" width="31.0"/>
    <col customWidth="1" min="4" max="4" width="25.5"/>
    <col customWidth="1" min="5" max="5" width="17.38"/>
    <col customWidth="1" min="6" max="8" width="20.13"/>
    <col customWidth="1" min="9" max="12" width="22.88"/>
    <col customWidth="1" min="13" max="13" width="23.38"/>
    <col customWidth="1" min="14" max="17" width="20.13"/>
    <col customWidth="1" min="18" max="18" width="23.63"/>
    <col customWidth="1" min="19" max="20" width="19.25"/>
    <col customWidth="1" min="21" max="22" width="20.13"/>
    <col customWidth="1" min="23" max="24" width="15.13"/>
  </cols>
  <sheetData>
    <row r="1" ht="22.5" customHeight="1">
      <c r="A1" s="3" t="s">
        <v>888</v>
      </c>
      <c r="B1" s="3" t="s">
        <v>1</v>
      </c>
      <c r="C1" s="3" t="s">
        <v>2</v>
      </c>
      <c r="D1" s="3" t="s">
        <v>818</v>
      </c>
      <c r="E1" s="3" t="s">
        <v>3</v>
      </c>
      <c r="F1" s="3" t="s">
        <v>4</v>
      </c>
      <c r="G1" s="3" t="s">
        <v>7</v>
      </c>
      <c r="H1" s="3" t="s">
        <v>8</v>
      </c>
      <c r="I1" s="3" t="s">
        <v>889</v>
      </c>
      <c r="J1" s="3" t="s">
        <v>820</v>
      </c>
      <c r="K1" s="6" t="s">
        <v>890</v>
      </c>
      <c r="L1" s="4" t="s">
        <v>9</v>
      </c>
      <c r="M1" s="6" t="s">
        <v>11</v>
      </c>
      <c r="N1" s="3" t="s">
        <v>12</v>
      </c>
      <c r="O1" s="113" t="s">
        <v>891</v>
      </c>
      <c r="P1" s="113" t="s">
        <v>892</v>
      </c>
      <c r="Q1" s="113" t="s">
        <v>893</v>
      </c>
      <c r="R1" s="3" t="s">
        <v>14</v>
      </c>
      <c r="S1" s="3" t="s">
        <v>16</v>
      </c>
      <c r="T1" s="3" t="s">
        <v>17</v>
      </c>
      <c r="U1" s="3" t="s">
        <v>20</v>
      </c>
      <c r="V1" s="3" t="s">
        <v>18</v>
      </c>
      <c r="W1" s="3" t="s">
        <v>19</v>
      </c>
      <c r="X1" s="3" t="s">
        <v>21</v>
      </c>
    </row>
    <row r="2" ht="22.5" customHeight="1">
      <c r="A2" s="104" t="str">
        <f t="array" ref="A2">IFERROR(TEXT(INDEX(Base!E:E,MATCH(B2,Base!A:A,0)),"mm.dd.yyyy"),"mm.dd.yyyy")
</f>
        <v>mm.dd.yyyy</v>
      </c>
      <c r="B2" s="114"/>
      <c r="C2" s="59" t="str">
        <f t="array" ref="C2">IFERROR(INDEX(Base!I:I,MATCH(B2,Base!A:A,0)),"Nome do Cliente")
</f>
        <v>Nome do Cliente</v>
      </c>
      <c r="D2" s="10" t="str">
        <f t="array" ref="D2">IFERROR(INDEX(Base!F:F,MATCH(B2,Base!A:A,0)),"Tipo do serv.")
</f>
        <v>Tipo do serv.</v>
      </c>
      <c r="E2" s="10" t="str">
        <f t="array" ref="E2">IFERROR(INDEX(Base!G:G,MATCH(B2,Base!A:A,0)),"Modelo da Cond.")</f>
        <v>Modelo da Cond.</v>
      </c>
      <c r="F2" s="10" t="str">
        <f t="array" ref="F2">IFERROR(INDEX(Base!H:H,MATCH(B2,Base!A:A,0)),"N° Serial")</f>
        <v>N° Serial</v>
      </c>
      <c r="G2" s="12" t="b">
        <v>0</v>
      </c>
      <c r="H2" s="18"/>
      <c r="I2" s="14" t="s">
        <v>23</v>
      </c>
      <c r="J2" s="14" t="s">
        <v>23</v>
      </c>
      <c r="K2" s="14" t="s">
        <v>23</v>
      </c>
      <c r="L2" s="14" t="s">
        <v>23</v>
      </c>
      <c r="M2" s="115" t="b">
        <v>0</v>
      </c>
      <c r="N2" s="18"/>
      <c r="O2" s="116" t="s">
        <v>23</v>
      </c>
      <c r="P2" s="116" t="s">
        <v>23</v>
      </c>
      <c r="Q2" s="116" t="s">
        <v>23</v>
      </c>
      <c r="R2" s="14" t="s">
        <v>23</v>
      </c>
      <c r="S2" s="14" t="s">
        <v>44</v>
      </c>
      <c r="T2" s="14" t="s">
        <v>44</v>
      </c>
      <c r="U2" s="114"/>
      <c r="V2" s="18"/>
      <c r="W2" s="19"/>
      <c r="X2" s="19"/>
    </row>
    <row r="3" ht="22.5" customHeight="1">
      <c r="A3" s="104" t="str">
        <f t="array" ref="A3">IFERROR(TEXT(INDEX(Base!E:E,MATCH(B3,Base!A:A,0)),"mm.dd.yyyy"),"mm.dd.yyyy")
</f>
        <v>mm.dd.yyyy</v>
      </c>
      <c r="B3" s="114"/>
      <c r="C3" s="59" t="str">
        <f t="array" ref="C3">IFERROR(INDEX(Base!I:I,MATCH(B3,Base!A:A,0)),"Nome do Cliente")
</f>
        <v>Nome do Cliente</v>
      </c>
      <c r="D3" s="10" t="str">
        <f t="array" ref="D3">IFERROR(INDEX(Base!F:F,MATCH(B3,Base!A:A,0)),"Tipo do serv.")
</f>
        <v>Tipo do serv.</v>
      </c>
      <c r="E3" s="10" t="str">
        <f t="array" ref="E3">IFERROR(INDEX(Base!G:G,MATCH(B3,Base!A:A,0)),"Modelo da Cond.")</f>
        <v>Modelo da Cond.</v>
      </c>
      <c r="F3" s="10" t="str">
        <f t="array" ref="F3">IFERROR(INDEX(Base!H:H,MATCH(B3,Base!A:A,0)),"N° Serial")</f>
        <v>N° Serial</v>
      </c>
      <c r="G3" s="12" t="b">
        <v>0</v>
      </c>
      <c r="H3" s="18"/>
      <c r="I3" s="14" t="s">
        <v>23</v>
      </c>
      <c r="J3" s="14" t="s">
        <v>23</v>
      </c>
      <c r="K3" s="14" t="s">
        <v>23</v>
      </c>
      <c r="L3" s="14" t="s">
        <v>23</v>
      </c>
      <c r="M3" s="117" t="b">
        <v>0</v>
      </c>
      <c r="N3" s="18"/>
      <c r="O3" s="116" t="s">
        <v>23</v>
      </c>
      <c r="P3" s="116" t="s">
        <v>23</v>
      </c>
      <c r="Q3" s="118" t="s">
        <v>23</v>
      </c>
      <c r="R3" s="14" t="s">
        <v>23</v>
      </c>
      <c r="S3" s="14" t="s">
        <v>44</v>
      </c>
      <c r="T3" s="14" t="s">
        <v>44</v>
      </c>
      <c r="U3" s="114"/>
      <c r="V3" s="18"/>
      <c r="W3" s="19"/>
      <c r="X3" s="19"/>
    </row>
    <row r="4" ht="22.5" customHeight="1">
      <c r="A4" s="104" t="str">
        <f t="array" ref="A4">IFERROR(TEXT(INDEX(Base!E:E,MATCH(B4,Base!A:A,0)),"mm.dd.yyyy"),"mm.dd.yyyy")
</f>
        <v>mm.dd.yyyy</v>
      </c>
      <c r="B4" s="114"/>
      <c r="C4" s="59" t="str">
        <f t="array" ref="C4">IFERROR(INDEX(Base!I:I,MATCH(B4,Base!A:A,0)),"Nome do Cliente")
</f>
        <v>Nome do Cliente</v>
      </c>
      <c r="D4" s="10" t="str">
        <f t="array" ref="D4">IFERROR(INDEX(Base!F:F,MATCH(B4,Base!A:A,0)),"Tipo do serv.")
</f>
        <v>Tipo do serv.</v>
      </c>
      <c r="E4" s="10" t="str">
        <f t="array" ref="E4">IFERROR(INDEX(Base!G:G,MATCH(B4,Base!A:A,0)),"Modelo da Cond.")</f>
        <v>Modelo da Cond.</v>
      </c>
      <c r="F4" s="10" t="str">
        <f t="array" ref="F4">IFERROR(INDEX(Base!H:H,MATCH(B4,Base!A:A,0)),"N° Serial")</f>
        <v>N° Serial</v>
      </c>
      <c r="G4" s="12" t="b">
        <v>0</v>
      </c>
      <c r="H4" s="18"/>
      <c r="I4" s="14" t="s">
        <v>23</v>
      </c>
      <c r="J4" s="14" t="s">
        <v>23</v>
      </c>
      <c r="K4" s="14" t="s">
        <v>23</v>
      </c>
      <c r="L4" s="14" t="s">
        <v>23</v>
      </c>
      <c r="M4" s="115" t="b">
        <v>0</v>
      </c>
      <c r="N4" s="18"/>
      <c r="O4" s="116" t="s">
        <v>23</v>
      </c>
      <c r="P4" s="116" t="s">
        <v>23</v>
      </c>
      <c r="Q4" s="116" t="s">
        <v>23</v>
      </c>
      <c r="R4" s="14" t="s">
        <v>23</v>
      </c>
      <c r="S4" s="14" t="s">
        <v>44</v>
      </c>
      <c r="T4" s="14" t="s">
        <v>44</v>
      </c>
      <c r="U4" s="114"/>
      <c r="V4" s="18"/>
      <c r="W4" s="19"/>
      <c r="X4" s="19"/>
    </row>
    <row r="5" ht="22.5" customHeight="1">
      <c r="A5" s="104" t="str">
        <f t="array" ref="A5">IFERROR(TEXT(INDEX(Base!E:E,MATCH(B5,Base!A:A,0)),"mm.dd.yyyy"),"mm.dd.yyyy")
</f>
        <v>mm.dd.yyyy</v>
      </c>
      <c r="B5" s="114"/>
      <c r="C5" s="59" t="str">
        <f t="array" ref="C5">IFERROR(INDEX(Base!I:I,MATCH(B5,Base!A:A,0)),"Nome do Cliente")
</f>
        <v>Nome do Cliente</v>
      </c>
      <c r="D5" s="10" t="str">
        <f t="array" ref="D5">IFERROR(INDEX(Base!F:F,MATCH(B5,Base!A:A,0)),"Tipo do serv.")
</f>
        <v>Tipo do serv.</v>
      </c>
      <c r="E5" s="10" t="str">
        <f t="array" ref="E5">IFERROR(INDEX(Base!G:G,MATCH(B5,Base!A:A,0)),"Modelo da Cond.")</f>
        <v>Modelo da Cond.</v>
      </c>
      <c r="F5" s="10" t="str">
        <f t="array" ref="F5">IFERROR(INDEX(Base!H:H,MATCH(B5,Base!A:A,0)),"N° Serial")</f>
        <v>N° Serial</v>
      </c>
      <c r="G5" s="12" t="b">
        <v>0</v>
      </c>
      <c r="H5" s="18"/>
      <c r="I5" s="14" t="s">
        <v>23</v>
      </c>
      <c r="J5" s="14" t="s">
        <v>23</v>
      </c>
      <c r="K5" s="14" t="s">
        <v>23</v>
      </c>
      <c r="L5" s="14" t="s">
        <v>23</v>
      </c>
      <c r="M5" s="117" t="b">
        <v>0</v>
      </c>
      <c r="N5" s="18"/>
      <c r="O5" s="116" t="s">
        <v>23</v>
      </c>
      <c r="P5" s="116" t="s">
        <v>23</v>
      </c>
      <c r="Q5" s="118" t="s">
        <v>23</v>
      </c>
      <c r="R5" s="14" t="s">
        <v>23</v>
      </c>
      <c r="S5" s="14" t="s">
        <v>44</v>
      </c>
      <c r="T5" s="14" t="s">
        <v>44</v>
      </c>
      <c r="U5" s="114"/>
      <c r="V5" s="18"/>
      <c r="W5" s="19"/>
      <c r="X5" s="19"/>
    </row>
    <row r="6" ht="22.5" customHeight="1">
      <c r="A6" s="104" t="str">
        <f t="array" ref="A6">IFERROR(TEXT(INDEX(Base!E:E,MATCH(B6,Base!A:A,0)),"mm.dd.yyyy"),"mm.dd.yyyy")
</f>
        <v>mm.dd.yyyy</v>
      </c>
      <c r="B6" s="114"/>
      <c r="C6" s="59" t="str">
        <f t="array" ref="C6">IFERROR(INDEX(Base!I:I,MATCH(B6,Base!A:A,0)),"Nome do Cliente")
</f>
        <v>Nome do Cliente</v>
      </c>
      <c r="D6" s="10" t="str">
        <f t="array" ref="D6">IFERROR(INDEX(Base!F:F,MATCH(B6,Base!A:A,0)),"Tipo do serv.")
</f>
        <v>Tipo do serv.</v>
      </c>
      <c r="E6" s="10" t="str">
        <f t="array" ref="E6">IFERROR(INDEX(Base!G:G,MATCH(B6,Base!A:A,0)),"Modelo da Cond.")</f>
        <v>Modelo da Cond.</v>
      </c>
      <c r="F6" s="10" t="str">
        <f t="array" ref="F6">IFERROR(INDEX(Base!H:H,MATCH(B6,Base!A:A,0)),"N° Serial")</f>
        <v>N° Serial</v>
      </c>
      <c r="G6" s="12" t="b">
        <v>0</v>
      </c>
      <c r="H6" s="18"/>
      <c r="I6" s="14" t="s">
        <v>23</v>
      </c>
      <c r="J6" s="14" t="s">
        <v>23</v>
      </c>
      <c r="K6" s="14" t="s">
        <v>23</v>
      </c>
      <c r="L6" s="14" t="s">
        <v>23</v>
      </c>
      <c r="M6" s="115" t="b">
        <v>0</v>
      </c>
      <c r="N6" s="18"/>
      <c r="O6" s="116" t="s">
        <v>23</v>
      </c>
      <c r="P6" s="116" t="s">
        <v>23</v>
      </c>
      <c r="Q6" s="116" t="s">
        <v>23</v>
      </c>
      <c r="R6" s="14" t="s">
        <v>23</v>
      </c>
      <c r="S6" s="14" t="s">
        <v>44</v>
      </c>
      <c r="T6" s="14" t="s">
        <v>44</v>
      </c>
      <c r="U6" s="114"/>
      <c r="V6" s="18"/>
      <c r="W6" s="19"/>
      <c r="X6" s="19"/>
    </row>
    <row r="7" ht="22.5" customHeight="1">
      <c r="A7" s="104" t="str">
        <f t="array" ref="A7">IFERROR(TEXT(INDEX(Base!E:E,MATCH(B7,Base!A:A,0)),"mm.dd.yyyy"),"mm.dd.yyyy")
</f>
        <v>mm.dd.yyyy</v>
      </c>
      <c r="B7" s="114"/>
      <c r="C7" s="59" t="str">
        <f t="array" ref="C7">IFERROR(INDEX(Base!I:I,MATCH(B7,Base!A:A,0)),"Nome do Cliente")
</f>
        <v>Nome do Cliente</v>
      </c>
      <c r="D7" s="10" t="str">
        <f t="array" ref="D7">IFERROR(INDEX(Base!F:F,MATCH(B7,Base!A:A,0)),"Tipo do serv.")
</f>
        <v>Tipo do serv.</v>
      </c>
      <c r="E7" s="10" t="str">
        <f t="array" ref="E7">IFERROR(INDEX(Base!G:G,MATCH(B7,Base!A:A,0)),"Modelo da Cond.")</f>
        <v>Modelo da Cond.</v>
      </c>
      <c r="F7" s="10" t="str">
        <f t="array" ref="F7">IFERROR(INDEX(Base!H:H,MATCH(B7,Base!A:A,0)),"N° Serial")</f>
        <v>N° Serial</v>
      </c>
      <c r="G7" s="12" t="b">
        <v>0</v>
      </c>
      <c r="H7" s="18"/>
      <c r="I7" s="14" t="s">
        <v>23</v>
      </c>
      <c r="J7" s="14" t="s">
        <v>23</v>
      </c>
      <c r="K7" s="14" t="s">
        <v>23</v>
      </c>
      <c r="L7" s="14" t="s">
        <v>23</v>
      </c>
      <c r="M7" s="117" t="b">
        <v>0</v>
      </c>
      <c r="N7" s="18"/>
      <c r="O7" s="116" t="s">
        <v>23</v>
      </c>
      <c r="P7" s="116" t="s">
        <v>23</v>
      </c>
      <c r="Q7" s="118" t="s">
        <v>23</v>
      </c>
      <c r="R7" s="14" t="s">
        <v>23</v>
      </c>
      <c r="S7" s="14" t="s">
        <v>44</v>
      </c>
      <c r="T7" s="14" t="s">
        <v>44</v>
      </c>
      <c r="U7" s="114"/>
      <c r="V7" s="18"/>
      <c r="W7" s="19"/>
      <c r="X7" s="19"/>
    </row>
    <row r="8" ht="22.5" customHeight="1">
      <c r="A8" s="104" t="str">
        <f t="array" ref="A8">IFERROR(TEXT(INDEX(Base!E:E,MATCH(B8,Base!A:A,0)),"mm.dd.yyyy"),"mm.dd.yyyy")
</f>
        <v>mm.dd.yyyy</v>
      </c>
      <c r="B8" s="114"/>
      <c r="C8" s="59" t="str">
        <f t="array" ref="C8">IFERROR(INDEX(Base!I:I,MATCH(B8,Base!A:A,0)),"Nome do Cliente")
</f>
        <v>Nome do Cliente</v>
      </c>
      <c r="D8" s="10" t="str">
        <f t="array" ref="D8">IFERROR(INDEX(Base!F:F,MATCH(B8,Base!A:A,0)),"Tipo do serv.")
</f>
        <v>Tipo do serv.</v>
      </c>
      <c r="E8" s="10" t="str">
        <f t="array" ref="E8">IFERROR(INDEX(Base!G:G,MATCH(B8,Base!A:A,0)),"Modelo da Cond.")</f>
        <v>Modelo da Cond.</v>
      </c>
      <c r="F8" s="10" t="str">
        <f t="array" ref="F8">IFERROR(INDEX(Base!H:H,MATCH(B8,Base!A:A,0)),"N° Serial")</f>
        <v>N° Serial</v>
      </c>
      <c r="G8" s="12" t="b">
        <v>0</v>
      </c>
      <c r="H8" s="18"/>
      <c r="I8" s="14" t="s">
        <v>23</v>
      </c>
      <c r="J8" s="14" t="s">
        <v>23</v>
      </c>
      <c r="K8" s="14" t="s">
        <v>23</v>
      </c>
      <c r="L8" s="14" t="s">
        <v>23</v>
      </c>
      <c r="M8" s="115" t="b">
        <v>0</v>
      </c>
      <c r="N8" s="18"/>
      <c r="O8" s="116" t="s">
        <v>23</v>
      </c>
      <c r="P8" s="116" t="s">
        <v>23</v>
      </c>
      <c r="Q8" s="116" t="s">
        <v>23</v>
      </c>
      <c r="R8" s="14" t="s">
        <v>23</v>
      </c>
      <c r="S8" s="14" t="s">
        <v>44</v>
      </c>
      <c r="T8" s="14" t="s">
        <v>44</v>
      </c>
      <c r="U8" s="114"/>
      <c r="V8" s="18"/>
      <c r="W8" s="19"/>
      <c r="X8" s="19"/>
    </row>
    <row r="9" ht="22.5" customHeight="1">
      <c r="A9" s="104" t="str">
        <f t="array" ref="A9">IFERROR(TEXT(INDEX(Base!E:E,MATCH(B9,Base!A:A,0)),"mm.dd.yyyy"),"mm.dd.yyyy")
</f>
        <v>mm.dd.yyyy</v>
      </c>
      <c r="B9" s="114"/>
      <c r="C9" s="59" t="str">
        <f t="array" ref="C9">IFERROR(INDEX(Base!I:I,MATCH(B9,Base!A:A,0)),"Nome do Cliente")
</f>
        <v>Nome do Cliente</v>
      </c>
      <c r="D9" s="10" t="str">
        <f t="array" ref="D9">IFERROR(INDEX(Base!F:F,MATCH(B9,Base!A:A,0)),"Tipo do serv.")
</f>
        <v>Tipo do serv.</v>
      </c>
      <c r="E9" s="10" t="str">
        <f t="array" ref="E9">IFERROR(INDEX(Base!G:G,MATCH(B9,Base!A:A,0)),"Modelo da Cond.")</f>
        <v>Modelo da Cond.</v>
      </c>
      <c r="F9" s="10" t="str">
        <f t="array" ref="F9">IFERROR(INDEX(Base!H:H,MATCH(B9,Base!A:A,0)),"N° Serial")</f>
        <v>N° Serial</v>
      </c>
      <c r="G9" s="12" t="b">
        <v>0</v>
      </c>
      <c r="H9" s="18"/>
      <c r="I9" s="14" t="s">
        <v>23</v>
      </c>
      <c r="J9" s="14" t="s">
        <v>23</v>
      </c>
      <c r="K9" s="14" t="s">
        <v>23</v>
      </c>
      <c r="L9" s="14" t="s">
        <v>23</v>
      </c>
      <c r="M9" s="117" t="b">
        <v>0</v>
      </c>
      <c r="N9" s="18"/>
      <c r="O9" s="116" t="s">
        <v>23</v>
      </c>
      <c r="P9" s="116" t="s">
        <v>23</v>
      </c>
      <c r="Q9" s="118" t="s">
        <v>23</v>
      </c>
      <c r="R9" s="14" t="s">
        <v>23</v>
      </c>
      <c r="S9" s="14" t="s">
        <v>44</v>
      </c>
      <c r="T9" s="14" t="s">
        <v>44</v>
      </c>
      <c r="U9" s="114"/>
      <c r="V9" s="18"/>
      <c r="W9" s="19"/>
      <c r="X9" s="19"/>
    </row>
    <row r="10" ht="22.5" customHeight="1">
      <c r="A10" s="104" t="str">
        <f t="array" ref="A10">IFERROR(TEXT(INDEX(Base!E:E,MATCH(B10,Base!A:A,0)),"mm.dd.yyyy"),"mm.dd.yyyy")
</f>
        <v>mm.dd.yyyy</v>
      </c>
      <c r="B10" s="114"/>
      <c r="C10" s="59" t="str">
        <f t="array" ref="C10">IFERROR(INDEX(Base!I:I,MATCH(B10,Base!A:A,0)),"Nome do Cliente")
</f>
        <v>Nome do Cliente</v>
      </c>
      <c r="D10" s="10" t="str">
        <f t="array" ref="D10">IFERROR(INDEX(Base!F:F,MATCH(B10,Base!A:A,0)),"Tipo do serv.")
</f>
        <v>Tipo do serv.</v>
      </c>
      <c r="E10" s="10" t="str">
        <f t="array" ref="E10">IFERROR(INDEX(Base!G:G,MATCH(B10,Base!A:A,0)),"Modelo da Cond.")</f>
        <v>Modelo da Cond.</v>
      </c>
      <c r="F10" s="10" t="str">
        <f t="array" ref="F10">IFERROR(INDEX(Base!H:H,MATCH(B10,Base!A:A,0)),"N° Serial")</f>
        <v>N° Serial</v>
      </c>
      <c r="G10" s="12" t="b">
        <v>0</v>
      </c>
      <c r="H10" s="18"/>
      <c r="I10" s="14" t="s">
        <v>23</v>
      </c>
      <c r="J10" s="14" t="s">
        <v>23</v>
      </c>
      <c r="K10" s="14" t="s">
        <v>23</v>
      </c>
      <c r="L10" s="14" t="s">
        <v>23</v>
      </c>
      <c r="M10" s="117" t="b">
        <v>0</v>
      </c>
      <c r="N10" s="18"/>
      <c r="O10" s="116" t="s">
        <v>23</v>
      </c>
      <c r="P10" s="116" t="s">
        <v>23</v>
      </c>
      <c r="Q10" s="118" t="s">
        <v>23</v>
      </c>
      <c r="R10" s="14" t="s">
        <v>23</v>
      </c>
      <c r="S10" s="14" t="s">
        <v>44</v>
      </c>
      <c r="T10" s="14" t="s">
        <v>44</v>
      </c>
      <c r="U10" s="114"/>
      <c r="V10" s="18"/>
      <c r="W10" s="19"/>
      <c r="X10" s="19"/>
    </row>
    <row r="11" ht="22.5" customHeight="1">
      <c r="A11" s="104" t="str">
        <f t="array" ref="A11">IFERROR(TEXT(INDEX(Base!E:E,MATCH(B11,Base!A:A,0)),"mm.dd.yyyy"),"mm.dd.yyyy")
</f>
        <v>mm.dd.yyyy</v>
      </c>
      <c r="B11" s="114"/>
      <c r="C11" s="59" t="str">
        <f t="array" ref="C11">IFERROR(INDEX(Base!I:I,MATCH(B11,Base!A:A,0)),"Nome do Cliente")
</f>
        <v>Nome do Cliente</v>
      </c>
      <c r="D11" s="10" t="str">
        <f t="array" ref="D11">IFERROR(INDEX(Base!F:F,MATCH(B11,Base!A:A,0)),"Tipo do serv.")
</f>
        <v>Tipo do serv.</v>
      </c>
      <c r="E11" s="10" t="str">
        <f t="array" ref="E11">IFERROR(INDEX(Base!G:G,MATCH(B11,Base!A:A,0)),"Modelo da Cond.")</f>
        <v>Modelo da Cond.</v>
      </c>
      <c r="F11" s="10" t="str">
        <f t="array" ref="F11">IFERROR(INDEX(Base!H:H,MATCH(B11,Base!A:A,0)),"N° Serial")</f>
        <v>N° Serial</v>
      </c>
      <c r="G11" s="12" t="b">
        <v>0</v>
      </c>
      <c r="H11" s="18"/>
      <c r="I11" s="14" t="s">
        <v>23</v>
      </c>
      <c r="J11" s="14" t="s">
        <v>23</v>
      </c>
      <c r="K11" s="14" t="s">
        <v>23</v>
      </c>
      <c r="L11" s="14" t="s">
        <v>23</v>
      </c>
      <c r="M11" s="115" t="b">
        <v>0</v>
      </c>
      <c r="N11" s="18"/>
      <c r="O11" s="116" t="s">
        <v>23</v>
      </c>
      <c r="P11" s="116" t="s">
        <v>23</v>
      </c>
      <c r="Q11" s="116" t="s">
        <v>23</v>
      </c>
      <c r="R11" s="14" t="s">
        <v>23</v>
      </c>
      <c r="S11" s="14" t="s">
        <v>44</v>
      </c>
      <c r="T11" s="14" t="s">
        <v>44</v>
      </c>
      <c r="U11" s="114"/>
      <c r="V11" s="18"/>
      <c r="W11" s="19"/>
      <c r="X11" s="19"/>
    </row>
    <row r="12" ht="22.5" customHeight="1">
      <c r="A12" s="104" t="str">
        <f t="array" ref="A12">IFERROR(TEXT(INDEX(Base!E:E,MATCH(B12,Base!A:A,0)),"mm.dd.yyyy"),"mm.dd.yyyy")
</f>
        <v>mm.dd.yyyy</v>
      </c>
      <c r="B12" s="114"/>
      <c r="C12" s="59" t="str">
        <f t="array" ref="C12">IFERROR(INDEX(Base!I:I,MATCH(B12,Base!A:A,0)),"Nome do Cliente")
</f>
        <v>Nome do Cliente</v>
      </c>
      <c r="D12" s="10" t="str">
        <f t="array" ref="D12">IFERROR(INDEX(Base!F:F,MATCH(B12,Base!A:A,0)),"Tipo do serv.")
</f>
        <v>Tipo do serv.</v>
      </c>
      <c r="E12" s="10" t="str">
        <f t="array" ref="E12">IFERROR(INDEX(Base!G:G,MATCH(B12,Base!A:A,0)),"Modelo da Cond.")</f>
        <v>Modelo da Cond.</v>
      </c>
      <c r="F12" s="10" t="str">
        <f t="array" ref="F12">IFERROR(INDEX(Base!H:H,MATCH(B12,Base!A:A,0)),"N° Serial")</f>
        <v>N° Serial</v>
      </c>
      <c r="G12" s="12" t="b">
        <v>0</v>
      </c>
      <c r="H12" s="18"/>
      <c r="I12" s="14" t="s">
        <v>23</v>
      </c>
      <c r="J12" s="14" t="s">
        <v>23</v>
      </c>
      <c r="K12" s="14" t="s">
        <v>23</v>
      </c>
      <c r="L12" s="14" t="s">
        <v>23</v>
      </c>
      <c r="M12" s="117" t="b">
        <v>0</v>
      </c>
      <c r="N12" s="18"/>
      <c r="O12" s="116" t="s">
        <v>23</v>
      </c>
      <c r="P12" s="116" t="s">
        <v>23</v>
      </c>
      <c r="Q12" s="118" t="s">
        <v>23</v>
      </c>
      <c r="R12" s="14" t="s">
        <v>23</v>
      </c>
      <c r="S12" s="14" t="s">
        <v>44</v>
      </c>
      <c r="T12" s="14" t="s">
        <v>44</v>
      </c>
      <c r="U12" s="114"/>
      <c r="V12" s="18"/>
      <c r="W12" s="19"/>
      <c r="X12" s="19"/>
    </row>
    <row r="13" ht="22.5" customHeight="1">
      <c r="A13" s="104" t="str">
        <f t="array" ref="A13">IFERROR(TEXT(INDEX(Base!E:E,MATCH(B13,Base!A:A,0)),"mm.dd.yyyy"),"mm.dd.yyyy")
</f>
        <v>mm.dd.yyyy</v>
      </c>
      <c r="B13" s="114"/>
      <c r="C13" s="59" t="str">
        <f t="array" ref="C13">IFERROR(INDEX(Base!I:I,MATCH(B13,Base!A:A,0)),"Nome do Cliente")
</f>
        <v>Nome do Cliente</v>
      </c>
      <c r="D13" s="10" t="str">
        <f t="array" ref="D13">IFERROR(INDEX(Base!F:F,MATCH(B13,Base!A:A,0)),"Tipo do serv.")
</f>
        <v>Tipo do serv.</v>
      </c>
      <c r="E13" s="10" t="str">
        <f t="array" ref="E13">IFERROR(INDEX(Base!G:G,MATCH(B13,Base!A:A,0)),"Modelo da Cond.")</f>
        <v>Modelo da Cond.</v>
      </c>
      <c r="F13" s="10" t="str">
        <f t="array" ref="F13">IFERROR(INDEX(Base!H:H,MATCH(B13,Base!A:A,0)),"N° Serial")</f>
        <v>N° Serial</v>
      </c>
      <c r="G13" s="12" t="b">
        <v>0</v>
      </c>
      <c r="H13" s="18"/>
      <c r="I13" s="14" t="s">
        <v>23</v>
      </c>
      <c r="J13" s="14" t="s">
        <v>23</v>
      </c>
      <c r="K13" s="14" t="s">
        <v>23</v>
      </c>
      <c r="L13" s="14" t="s">
        <v>23</v>
      </c>
      <c r="M13" s="115" t="b">
        <v>0</v>
      </c>
      <c r="N13" s="18"/>
      <c r="O13" s="116" t="s">
        <v>23</v>
      </c>
      <c r="P13" s="116" t="s">
        <v>23</v>
      </c>
      <c r="Q13" s="116" t="s">
        <v>23</v>
      </c>
      <c r="R13" s="14" t="s">
        <v>23</v>
      </c>
      <c r="S13" s="14" t="s">
        <v>44</v>
      </c>
      <c r="T13" s="14" t="s">
        <v>44</v>
      </c>
      <c r="U13" s="114"/>
      <c r="V13" s="18"/>
      <c r="W13" s="19"/>
      <c r="X13" s="19"/>
    </row>
    <row r="14" ht="22.5" customHeight="1">
      <c r="A14" s="104" t="str">
        <f t="array" ref="A14">IFERROR(TEXT(INDEX(Base!E:E,MATCH(B14,Base!A:A,0)),"mm.dd.yyyy"),"mm.dd.yyyy")
</f>
        <v>mm.dd.yyyy</v>
      </c>
      <c r="B14" s="114"/>
      <c r="C14" s="59" t="str">
        <f t="array" ref="C14">IFERROR(INDEX(Base!I:I,MATCH(B14,Base!A:A,0)),"Nome do Cliente")
</f>
        <v>Nome do Cliente</v>
      </c>
      <c r="D14" s="10" t="str">
        <f t="array" ref="D14">IFERROR(INDEX(Base!F:F,MATCH(B14,Base!A:A,0)),"Tipo do serv.")
</f>
        <v>Tipo do serv.</v>
      </c>
      <c r="E14" s="10" t="str">
        <f t="array" ref="E14">IFERROR(INDEX(Base!G:G,MATCH(B14,Base!A:A,0)),"Modelo da Cond.")</f>
        <v>Modelo da Cond.</v>
      </c>
      <c r="F14" s="10" t="str">
        <f t="array" ref="F14">IFERROR(INDEX(Base!H:H,MATCH(B14,Base!A:A,0)),"N° Serial")</f>
        <v>N° Serial</v>
      </c>
      <c r="G14" s="12" t="b">
        <v>0</v>
      </c>
      <c r="H14" s="18"/>
      <c r="I14" s="14" t="s">
        <v>23</v>
      </c>
      <c r="J14" s="14" t="s">
        <v>23</v>
      </c>
      <c r="K14" s="14" t="s">
        <v>23</v>
      </c>
      <c r="L14" s="14" t="s">
        <v>23</v>
      </c>
      <c r="M14" s="117" t="b">
        <v>0</v>
      </c>
      <c r="N14" s="18"/>
      <c r="O14" s="116" t="s">
        <v>23</v>
      </c>
      <c r="P14" s="116" t="s">
        <v>23</v>
      </c>
      <c r="Q14" s="118" t="s">
        <v>23</v>
      </c>
      <c r="R14" s="14" t="s">
        <v>23</v>
      </c>
      <c r="S14" s="14" t="s">
        <v>44</v>
      </c>
      <c r="T14" s="14" t="s">
        <v>44</v>
      </c>
      <c r="U14" s="114"/>
      <c r="V14" s="18"/>
      <c r="W14" s="19"/>
      <c r="X14" s="19"/>
    </row>
    <row r="15" ht="22.5" customHeight="1">
      <c r="A15" s="104" t="str">
        <f t="array" ref="A15">IFERROR(TEXT(INDEX(Base!E:E,MATCH(B15,Base!A:A,0)),"mm.dd.yyyy"),"mm.dd.yyyy")
</f>
        <v>mm.dd.yyyy</v>
      </c>
      <c r="B15" s="114"/>
      <c r="C15" s="59" t="str">
        <f t="array" ref="C15">IFERROR(INDEX(Base!I:I,MATCH(B15,Base!A:A,0)),"Nome do Cliente")
</f>
        <v>Nome do Cliente</v>
      </c>
      <c r="D15" s="10" t="str">
        <f t="array" ref="D15">IFERROR(INDEX(Base!F:F,MATCH(B15,Base!A:A,0)),"Tipo do serv.")
</f>
        <v>Tipo do serv.</v>
      </c>
      <c r="E15" s="10" t="str">
        <f t="array" ref="E15">IFERROR(INDEX(Base!G:G,MATCH(B15,Base!A:A,0)),"Modelo da Cond.")</f>
        <v>Modelo da Cond.</v>
      </c>
      <c r="F15" s="10" t="str">
        <f t="array" ref="F15">IFERROR(INDEX(Base!H:H,MATCH(B15,Base!A:A,0)),"N° Serial")</f>
        <v>N° Serial</v>
      </c>
      <c r="G15" s="12" t="b">
        <v>0</v>
      </c>
      <c r="H15" s="18"/>
      <c r="I15" s="14" t="s">
        <v>23</v>
      </c>
      <c r="J15" s="14" t="s">
        <v>23</v>
      </c>
      <c r="K15" s="14" t="s">
        <v>23</v>
      </c>
      <c r="L15" s="14" t="s">
        <v>23</v>
      </c>
      <c r="M15" s="115" t="b">
        <v>0</v>
      </c>
      <c r="N15" s="18"/>
      <c r="O15" s="116" t="s">
        <v>23</v>
      </c>
      <c r="P15" s="116" t="s">
        <v>23</v>
      </c>
      <c r="Q15" s="116" t="s">
        <v>23</v>
      </c>
      <c r="R15" s="14" t="s">
        <v>23</v>
      </c>
      <c r="S15" s="17"/>
      <c r="T15" s="17"/>
      <c r="U15" s="114"/>
      <c r="V15" s="18"/>
      <c r="W15" s="19"/>
      <c r="X15" s="19"/>
    </row>
    <row r="16" ht="22.5" customHeight="1">
      <c r="A16" s="104" t="str">
        <f t="array" ref="A16">IFERROR(TEXT(INDEX(Base!E:E,MATCH(B16,Base!A:A,0)),"mm.dd.yyyy"),"mm.dd.yyyy")
</f>
        <v>mm.dd.yyyy</v>
      </c>
      <c r="B16" s="114"/>
      <c r="C16" s="59" t="str">
        <f t="array" ref="C16">IFERROR(INDEX(Base!I:I,MATCH(B16,Base!A:A,0)),"Nome do Cliente")
</f>
        <v>Nome do Cliente</v>
      </c>
      <c r="D16" s="10" t="str">
        <f t="array" ref="D16">IFERROR(INDEX(Base!F:F,MATCH(B16,Base!A:A,0)),"Tipo do serv.")
</f>
        <v>Tipo do serv.</v>
      </c>
      <c r="E16" s="10" t="str">
        <f t="array" ref="E16">IFERROR(INDEX(Base!G:G,MATCH(B16,Base!A:A,0)),"Modelo da Cond.")</f>
        <v>Modelo da Cond.</v>
      </c>
      <c r="F16" s="10" t="str">
        <f t="array" ref="F16">IFERROR(INDEX(Base!H:H,MATCH(B16,Base!A:A,0)),"N° Serial")</f>
        <v>N° Serial</v>
      </c>
      <c r="G16" s="12" t="b">
        <v>0</v>
      </c>
      <c r="H16" s="18"/>
      <c r="I16" s="14" t="s">
        <v>23</v>
      </c>
      <c r="J16" s="14" t="s">
        <v>23</v>
      </c>
      <c r="K16" s="14" t="s">
        <v>23</v>
      </c>
      <c r="L16" s="14" t="s">
        <v>23</v>
      </c>
      <c r="M16" s="117" t="b">
        <v>0</v>
      </c>
      <c r="N16" s="18"/>
      <c r="O16" s="116" t="s">
        <v>23</v>
      </c>
      <c r="P16" s="116" t="s">
        <v>23</v>
      </c>
      <c r="Q16" s="118" t="s">
        <v>23</v>
      </c>
      <c r="R16" s="14" t="s">
        <v>23</v>
      </c>
      <c r="S16" s="17"/>
      <c r="T16" s="17"/>
      <c r="U16" s="114"/>
      <c r="V16" s="18"/>
      <c r="W16" s="19"/>
      <c r="X16" s="19"/>
    </row>
    <row r="17" ht="22.5" customHeight="1">
      <c r="A17" s="104" t="str">
        <f t="array" ref="A17">IFERROR(TEXT(INDEX(Base!E:E,MATCH(B17,Base!A:A,0)),"mm.dd.yyyy"),"mm.dd.yyyy")
</f>
        <v>mm.dd.yyyy</v>
      </c>
      <c r="B17" s="114"/>
      <c r="C17" s="59" t="str">
        <f t="array" ref="C17">IFERROR(INDEX(Base!I:I,MATCH(B17,Base!A:A,0)),"Nome do Cliente")
</f>
        <v>Nome do Cliente</v>
      </c>
      <c r="D17" s="10" t="str">
        <f t="array" ref="D17">IFERROR(INDEX(Base!F:F,MATCH(B17,Base!A:A,0)),"Tipo do serv.")
</f>
        <v>Tipo do serv.</v>
      </c>
      <c r="E17" s="10" t="str">
        <f t="array" ref="E17">IFERROR(INDEX(Base!G:G,MATCH(B17,Base!A:A,0)),"Modelo da Cond.")</f>
        <v>Modelo da Cond.</v>
      </c>
      <c r="F17" s="10" t="str">
        <f t="array" ref="F17">IFERROR(INDEX(Base!H:H,MATCH(B17,Base!A:A,0)),"N° Serial")</f>
        <v>N° Serial</v>
      </c>
      <c r="G17" s="12" t="b">
        <v>0</v>
      </c>
      <c r="H17" s="18"/>
      <c r="I17" s="14" t="s">
        <v>23</v>
      </c>
      <c r="J17" s="14" t="s">
        <v>23</v>
      </c>
      <c r="K17" s="14" t="s">
        <v>23</v>
      </c>
      <c r="L17" s="14" t="s">
        <v>23</v>
      </c>
      <c r="M17" s="115" t="b">
        <v>0</v>
      </c>
      <c r="N17" s="18"/>
      <c r="O17" s="116" t="s">
        <v>23</v>
      </c>
      <c r="P17" s="116" t="s">
        <v>23</v>
      </c>
      <c r="Q17" s="116" t="s">
        <v>23</v>
      </c>
      <c r="R17" s="14" t="s">
        <v>23</v>
      </c>
      <c r="S17" s="17"/>
      <c r="T17" s="17"/>
      <c r="U17" s="114"/>
      <c r="V17" s="18"/>
      <c r="W17" s="19"/>
      <c r="X17" s="19"/>
    </row>
    <row r="18" ht="22.5" customHeight="1">
      <c r="A18" s="104" t="str">
        <f t="array" ref="A18">IFERROR(TEXT(INDEX(Base!E:E,MATCH(B18,Base!A:A,0)),"mm.dd.yyyy"),"mm.dd.yyyy")
</f>
        <v>mm.dd.yyyy</v>
      </c>
      <c r="B18" s="114"/>
      <c r="C18" s="59" t="str">
        <f t="array" ref="C18">IFERROR(INDEX(Base!I:I,MATCH(B18,Base!A:A,0)),"Nome do Cliente")
</f>
        <v>Nome do Cliente</v>
      </c>
      <c r="D18" s="10" t="str">
        <f t="array" ref="D18">IFERROR(INDEX(Base!F:F,MATCH(B18,Base!A:A,0)),"Tipo do serv.")
</f>
        <v>Tipo do serv.</v>
      </c>
      <c r="E18" s="10" t="str">
        <f t="array" ref="E18">IFERROR(INDEX(Base!G:G,MATCH(B18,Base!A:A,0)),"Modelo da Cond.")</f>
        <v>Modelo da Cond.</v>
      </c>
      <c r="F18" s="10" t="str">
        <f t="array" ref="F18">IFERROR(INDEX(Base!H:H,MATCH(B18,Base!A:A,0)),"N° Serial")</f>
        <v>N° Serial</v>
      </c>
      <c r="G18" s="12" t="b">
        <v>0</v>
      </c>
      <c r="H18" s="18"/>
      <c r="I18" s="14" t="s">
        <v>23</v>
      </c>
      <c r="J18" s="14" t="s">
        <v>23</v>
      </c>
      <c r="K18" s="14" t="s">
        <v>23</v>
      </c>
      <c r="L18" s="14" t="s">
        <v>23</v>
      </c>
      <c r="M18" s="117" t="b">
        <v>0</v>
      </c>
      <c r="N18" s="18"/>
      <c r="O18" s="116" t="s">
        <v>23</v>
      </c>
      <c r="P18" s="116" t="s">
        <v>23</v>
      </c>
      <c r="Q18" s="118" t="s">
        <v>23</v>
      </c>
      <c r="R18" s="14" t="s">
        <v>23</v>
      </c>
      <c r="S18" s="17"/>
      <c r="T18" s="17"/>
      <c r="U18" s="114"/>
      <c r="V18" s="18"/>
      <c r="W18" s="19"/>
      <c r="X18" s="19"/>
    </row>
    <row r="19" ht="22.5" customHeight="1">
      <c r="A19" s="104" t="str">
        <f t="array" ref="A19">IFERROR(TEXT(INDEX(Base!E:E,MATCH(B19,Base!A:A,0)),"mm.dd.yyyy"),"mm.dd.yyyy")
</f>
        <v>mm.dd.yyyy</v>
      </c>
      <c r="B19" s="114"/>
      <c r="C19" s="59" t="str">
        <f t="array" ref="C19">IFERROR(INDEX(Base!I:I,MATCH(B19,Base!A:A,0)),"Nome do Cliente")
</f>
        <v>Nome do Cliente</v>
      </c>
      <c r="D19" s="10" t="str">
        <f t="array" ref="D19">IFERROR(INDEX(Base!F:F,MATCH(B19,Base!A:A,0)),"Tipo do serv.")
</f>
        <v>Tipo do serv.</v>
      </c>
      <c r="E19" s="10" t="str">
        <f t="array" ref="E19">IFERROR(INDEX(Base!G:G,MATCH(B19,Base!A:A,0)),"Modelo da Cond.")</f>
        <v>Modelo da Cond.</v>
      </c>
      <c r="F19" s="10" t="str">
        <f t="array" ref="F19">IFERROR(INDEX(Base!H:H,MATCH(B19,Base!A:A,0)),"N° Serial")</f>
        <v>N° Serial</v>
      </c>
      <c r="G19" s="12" t="b">
        <v>0</v>
      </c>
      <c r="H19" s="18"/>
      <c r="I19" s="14" t="s">
        <v>23</v>
      </c>
      <c r="J19" s="14" t="s">
        <v>23</v>
      </c>
      <c r="K19" s="14" t="s">
        <v>23</v>
      </c>
      <c r="L19" s="14" t="s">
        <v>23</v>
      </c>
      <c r="M19" s="115" t="b">
        <v>0</v>
      </c>
      <c r="N19" s="18"/>
      <c r="O19" s="116" t="s">
        <v>23</v>
      </c>
      <c r="P19" s="116" t="s">
        <v>23</v>
      </c>
      <c r="Q19" s="116" t="s">
        <v>23</v>
      </c>
      <c r="R19" s="14" t="s">
        <v>23</v>
      </c>
      <c r="S19" s="17"/>
      <c r="T19" s="17"/>
      <c r="U19" s="114"/>
      <c r="V19" s="18"/>
      <c r="W19" s="19"/>
      <c r="X19" s="19"/>
    </row>
    <row r="20" ht="22.5" customHeight="1">
      <c r="A20" s="104" t="str">
        <f t="array" ref="A20">IFERROR(TEXT(INDEX(Base!E:E,MATCH(B20,Base!A:A,0)),"mm.dd.yyyy"),"mm.dd.yyyy")
</f>
        <v>mm.dd.yyyy</v>
      </c>
      <c r="B20" s="114"/>
      <c r="C20" s="59" t="str">
        <f t="array" ref="C20">IFERROR(INDEX(Base!I:I,MATCH(B20,Base!A:A,0)),"Nome do Cliente")
</f>
        <v>Nome do Cliente</v>
      </c>
      <c r="D20" s="10" t="str">
        <f t="array" ref="D20">IFERROR(INDEX(Base!F:F,MATCH(B20,Base!A:A,0)),"Tipo do serv.")
</f>
        <v>Tipo do serv.</v>
      </c>
      <c r="E20" s="10" t="str">
        <f t="array" ref="E20">IFERROR(INDEX(Base!G:G,MATCH(B20,Base!A:A,0)),"Modelo da Cond.")</f>
        <v>Modelo da Cond.</v>
      </c>
      <c r="F20" s="10" t="str">
        <f t="array" ref="F20">IFERROR(INDEX(Base!H:H,MATCH(B20,Base!A:A,0)),"N° Serial")</f>
        <v>N° Serial</v>
      </c>
      <c r="G20" s="12" t="b">
        <v>0</v>
      </c>
      <c r="H20" s="18"/>
      <c r="I20" s="14" t="s">
        <v>23</v>
      </c>
      <c r="J20" s="14" t="s">
        <v>23</v>
      </c>
      <c r="K20" s="14" t="s">
        <v>23</v>
      </c>
      <c r="L20" s="14" t="s">
        <v>23</v>
      </c>
      <c r="M20" s="117" t="b">
        <v>0</v>
      </c>
      <c r="N20" s="18"/>
      <c r="O20" s="116" t="s">
        <v>23</v>
      </c>
      <c r="P20" s="116" t="s">
        <v>23</v>
      </c>
      <c r="Q20" s="118" t="s">
        <v>23</v>
      </c>
      <c r="R20" s="14" t="s">
        <v>23</v>
      </c>
      <c r="S20" s="17"/>
      <c r="T20" s="17"/>
      <c r="U20" s="114"/>
      <c r="V20" s="18"/>
      <c r="W20" s="19"/>
      <c r="X20" s="19"/>
    </row>
    <row r="21" ht="22.5" customHeight="1">
      <c r="A21" s="104" t="str">
        <f t="array" ref="A21">IFERROR(TEXT(INDEX(Base!E:E,MATCH(B21,Base!A:A,0)),"mm.dd.yyyy"),"mm.dd.yyyy")
</f>
        <v>mm.dd.yyyy</v>
      </c>
      <c r="B21" s="114"/>
      <c r="C21" s="59" t="str">
        <f t="array" ref="C21">IFERROR(INDEX(Base!I:I,MATCH(B21,Base!A:A,0)),"Nome do Cliente")
</f>
        <v>Nome do Cliente</v>
      </c>
      <c r="D21" s="10" t="str">
        <f t="array" ref="D21">IFERROR(INDEX(Base!F:F,MATCH(B21,Base!A:A,0)),"Tipo do serv.")
</f>
        <v>Tipo do serv.</v>
      </c>
      <c r="E21" s="10" t="str">
        <f t="array" ref="E21">IFERROR(INDEX(Base!G:G,MATCH(B21,Base!A:A,0)),"Modelo da Cond.")</f>
        <v>Modelo da Cond.</v>
      </c>
      <c r="F21" s="10" t="str">
        <f t="array" ref="F21">IFERROR(INDEX(Base!H:H,MATCH(B21,Base!A:A,0)),"N° Serial")</f>
        <v>N° Serial</v>
      </c>
      <c r="G21" s="12" t="b">
        <v>0</v>
      </c>
      <c r="H21" s="18"/>
      <c r="I21" s="14" t="s">
        <v>23</v>
      </c>
      <c r="J21" s="14" t="s">
        <v>23</v>
      </c>
      <c r="K21" s="14" t="s">
        <v>23</v>
      </c>
      <c r="L21" s="14" t="s">
        <v>23</v>
      </c>
      <c r="M21" s="115" t="b">
        <v>0</v>
      </c>
      <c r="N21" s="18"/>
      <c r="O21" s="116" t="s">
        <v>23</v>
      </c>
      <c r="P21" s="116" t="s">
        <v>23</v>
      </c>
      <c r="Q21" s="116" t="s">
        <v>23</v>
      </c>
      <c r="R21" s="14" t="s">
        <v>23</v>
      </c>
      <c r="S21" s="17"/>
      <c r="T21" s="17"/>
      <c r="U21" s="114"/>
      <c r="V21" s="18"/>
      <c r="W21" s="19"/>
      <c r="X21" s="19"/>
    </row>
    <row r="22" ht="22.5" customHeight="1">
      <c r="A22" s="104" t="str">
        <f t="array" ref="A22">IFERROR(TEXT(INDEX(Base!E:E,MATCH(B22,Base!A:A,0)),"mm.dd.yyyy"),"mm.dd.yyyy")
</f>
        <v>mm.dd.yyyy</v>
      </c>
      <c r="B22" s="114"/>
      <c r="C22" s="59" t="str">
        <f t="array" ref="C22">IFERROR(INDEX(Base!I:I,MATCH(B22,Base!A:A,0)),"Nome do Cliente")
</f>
        <v>Nome do Cliente</v>
      </c>
      <c r="D22" s="10" t="str">
        <f t="array" ref="D22">IFERROR(INDEX(Base!F:F,MATCH(B22,Base!A:A,0)),"Tipo do serv.")
</f>
        <v>Tipo do serv.</v>
      </c>
      <c r="E22" s="10" t="str">
        <f t="array" ref="E22">IFERROR(INDEX(Base!G:G,MATCH(B22,Base!A:A,0)),"Modelo da Cond.")</f>
        <v>Modelo da Cond.</v>
      </c>
      <c r="F22" s="10" t="str">
        <f t="array" ref="F22">IFERROR(INDEX(Base!H:H,MATCH(B22,Base!A:A,0)),"N° Serial")</f>
        <v>N° Serial</v>
      </c>
      <c r="G22" s="12" t="b">
        <v>0</v>
      </c>
      <c r="H22" s="18"/>
      <c r="I22" s="14" t="s">
        <v>23</v>
      </c>
      <c r="J22" s="14" t="s">
        <v>23</v>
      </c>
      <c r="K22" s="14" t="s">
        <v>23</v>
      </c>
      <c r="L22" s="14" t="s">
        <v>23</v>
      </c>
      <c r="M22" s="117" t="b">
        <v>0</v>
      </c>
      <c r="N22" s="18"/>
      <c r="O22" s="116" t="s">
        <v>23</v>
      </c>
      <c r="P22" s="116" t="s">
        <v>23</v>
      </c>
      <c r="Q22" s="118" t="s">
        <v>23</v>
      </c>
      <c r="R22" s="14" t="s">
        <v>23</v>
      </c>
      <c r="S22" s="17"/>
      <c r="T22" s="17"/>
      <c r="U22" s="114"/>
      <c r="V22" s="18"/>
      <c r="W22" s="19"/>
      <c r="X22" s="19"/>
    </row>
    <row r="23" ht="22.5" customHeight="1">
      <c r="A23" s="104" t="str">
        <f t="array" ref="A23">IFERROR(TEXT(INDEX(Base!E:E,MATCH(B23,Base!A:A,0)),"mm.dd.yyyy"),"mm.dd.yyyy")
</f>
        <v>mm.dd.yyyy</v>
      </c>
      <c r="B23" s="114"/>
      <c r="C23" s="59" t="str">
        <f t="array" ref="C23">IFERROR(INDEX(Base!I:I,MATCH(B23,Base!A:A,0)),"Nome do Cliente")
</f>
        <v>Nome do Cliente</v>
      </c>
      <c r="D23" s="10" t="str">
        <f t="array" ref="D23">IFERROR(INDEX(Base!F:F,MATCH(B23,Base!A:A,0)),"Tipo do serv.")
</f>
        <v>Tipo do serv.</v>
      </c>
      <c r="E23" s="10" t="str">
        <f t="array" ref="E23">IFERROR(INDEX(Base!G:G,MATCH(B23,Base!A:A,0)),"Modelo da Cond.")</f>
        <v>Modelo da Cond.</v>
      </c>
      <c r="F23" s="10" t="str">
        <f t="array" ref="F23">IFERROR(INDEX(Base!H:H,MATCH(B23,Base!A:A,0)),"N° Serial")</f>
        <v>N° Serial</v>
      </c>
      <c r="G23" s="12" t="b">
        <v>0</v>
      </c>
      <c r="H23" s="18"/>
      <c r="I23" s="14" t="s">
        <v>23</v>
      </c>
      <c r="J23" s="14" t="s">
        <v>23</v>
      </c>
      <c r="K23" s="14" t="s">
        <v>23</v>
      </c>
      <c r="L23" s="14" t="s">
        <v>23</v>
      </c>
      <c r="M23" s="115" t="b">
        <v>0</v>
      </c>
      <c r="N23" s="18"/>
      <c r="O23" s="116" t="s">
        <v>23</v>
      </c>
      <c r="P23" s="116" t="s">
        <v>23</v>
      </c>
      <c r="Q23" s="116" t="s">
        <v>23</v>
      </c>
      <c r="R23" s="14" t="s">
        <v>23</v>
      </c>
      <c r="S23" s="17"/>
      <c r="T23" s="17"/>
      <c r="U23" s="114"/>
      <c r="V23" s="18"/>
      <c r="W23" s="19"/>
      <c r="X23" s="19"/>
    </row>
    <row r="24" ht="22.5" customHeight="1">
      <c r="A24" s="104" t="str">
        <f t="array" ref="A24">IFERROR(TEXT(INDEX(Base!E:E,MATCH(B24,Base!A:A,0)),"mm.dd.yyyy"),"mm.dd.yyyy")
</f>
        <v>mm.dd.yyyy</v>
      </c>
      <c r="B24" s="114"/>
      <c r="C24" s="59" t="str">
        <f t="array" ref="C24">IFERROR(INDEX(Base!I:I,MATCH(B24,Base!A:A,0)),"Nome do Cliente")
</f>
        <v>Nome do Cliente</v>
      </c>
      <c r="D24" s="10" t="str">
        <f t="array" ref="D24">IFERROR(INDEX(Base!F:F,MATCH(B24,Base!A:A,0)),"Tipo do serv.")
</f>
        <v>Tipo do serv.</v>
      </c>
      <c r="E24" s="10" t="str">
        <f t="array" ref="E24">IFERROR(INDEX(Base!G:G,MATCH(B24,Base!A:A,0)),"Modelo da Cond.")</f>
        <v>Modelo da Cond.</v>
      </c>
      <c r="F24" s="10" t="str">
        <f t="array" ref="F24">IFERROR(INDEX(Base!H:H,MATCH(B24,Base!A:A,0)),"N° Serial")</f>
        <v>N° Serial</v>
      </c>
      <c r="G24" s="12" t="b">
        <v>0</v>
      </c>
      <c r="H24" s="18"/>
      <c r="I24" s="14" t="s">
        <v>23</v>
      </c>
      <c r="J24" s="14" t="s">
        <v>23</v>
      </c>
      <c r="K24" s="14" t="s">
        <v>23</v>
      </c>
      <c r="L24" s="14" t="s">
        <v>23</v>
      </c>
      <c r="M24" s="117" t="b">
        <v>0</v>
      </c>
      <c r="N24" s="18"/>
      <c r="O24" s="116" t="s">
        <v>23</v>
      </c>
      <c r="P24" s="116" t="s">
        <v>23</v>
      </c>
      <c r="Q24" s="118" t="s">
        <v>23</v>
      </c>
      <c r="R24" s="14" t="s">
        <v>23</v>
      </c>
      <c r="S24" s="17"/>
      <c r="T24" s="17"/>
      <c r="U24" s="114"/>
      <c r="V24" s="18"/>
      <c r="W24" s="19"/>
      <c r="X24" s="19"/>
    </row>
    <row r="25" ht="22.5" customHeight="1">
      <c r="A25" s="104" t="str">
        <f t="array" ref="A25">IFERROR(TEXT(INDEX(Base!E:E,MATCH(B25,Base!A:A,0)),"mm.dd.yyyy"),"mm.dd.yyyy")
</f>
        <v>mm.dd.yyyy</v>
      </c>
      <c r="B25" s="114"/>
      <c r="C25" s="59" t="str">
        <f t="array" ref="C25">IFERROR(INDEX(Base!I:I,MATCH(B25,Base!A:A,0)),"Nome do Cliente")
</f>
        <v>Nome do Cliente</v>
      </c>
      <c r="D25" s="10" t="str">
        <f t="array" ref="D25">IFERROR(INDEX(Base!F:F,MATCH(B25,Base!A:A,0)),"Tipo do serv.")
</f>
        <v>Tipo do serv.</v>
      </c>
      <c r="E25" s="10" t="str">
        <f t="array" ref="E25">IFERROR(INDEX(Base!G:G,MATCH(B25,Base!A:A,0)),"Modelo da Cond.")</f>
        <v>Modelo da Cond.</v>
      </c>
      <c r="F25" s="10" t="str">
        <f t="array" ref="F25">IFERROR(INDEX(Base!H:H,MATCH(B25,Base!A:A,0)),"N° Serial")</f>
        <v>N° Serial</v>
      </c>
      <c r="G25" s="12" t="b">
        <v>0</v>
      </c>
      <c r="H25" s="18"/>
      <c r="I25" s="14" t="s">
        <v>23</v>
      </c>
      <c r="J25" s="14" t="s">
        <v>23</v>
      </c>
      <c r="K25" s="14" t="s">
        <v>23</v>
      </c>
      <c r="L25" s="14" t="s">
        <v>23</v>
      </c>
      <c r="M25" s="115" t="b">
        <v>0</v>
      </c>
      <c r="N25" s="18"/>
      <c r="O25" s="116" t="s">
        <v>23</v>
      </c>
      <c r="P25" s="116" t="s">
        <v>23</v>
      </c>
      <c r="Q25" s="116" t="s">
        <v>23</v>
      </c>
      <c r="R25" s="14" t="s">
        <v>23</v>
      </c>
      <c r="S25" s="17"/>
      <c r="T25" s="17"/>
      <c r="U25" s="114"/>
      <c r="V25" s="18"/>
      <c r="W25" s="19"/>
      <c r="X25" s="19"/>
    </row>
    <row r="26" ht="22.5" customHeight="1">
      <c r="A26" s="104" t="str">
        <f t="array" ref="A26">IFERROR(TEXT(INDEX(Base!E:E,MATCH(B26,Base!A:A,0)),"mm.dd.yyyy"),"mm.dd.yyyy")
</f>
        <v>mm.dd.yyyy</v>
      </c>
      <c r="B26" s="114"/>
      <c r="C26" s="59" t="str">
        <f t="array" ref="C26">IFERROR(INDEX(Base!I:I,MATCH(B26,Base!A:A,0)),"Nome do Cliente")
</f>
        <v>Nome do Cliente</v>
      </c>
      <c r="D26" s="10" t="str">
        <f t="array" ref="D26">IFERROR(INDEX(Base!F:F,MATCH(B26,Base!A:A,0)),"Tipo do serv.")
</f>
        <v>Tipo do serv.</v>
      </c>
      <c r="E26" s="10" t="str">
        <f t="array" ref="E26">IFERROR(INDEX(Base!G:G,MATCH(B26,Base!A:A,0)),"Modelo da Cond.")</f>
        <v>Modelo da Cond.</v>
      </c>
      <c r="F26" s="10" t="str">
        <f t="array" ref="F26">IFERROR(INDEX(Base!H:H,MATCH(B26,Base!A:A,0)),"N° Serial")</f>
        <v>N° Serial</v>
      </c>
      <c r="G26" s="12" t="b">
        <v>0</v>
      </c>
      <c r="H26" s="18"/>
      <c r="I26" s="14" t="s">
        <v>23</v>
      </c>
      <c r="J26" s="14" t="s">
        <v>23</v>
      </c>
      <c r="K26" s="14" t="s">
        <v>23</v>
      </c>
      <c r="L26" s="14" t="s">
        <v>23</v>
      </c>
      <c r="M26" s="117" t="b">
        <v>0</v>
      </c>
      <c r="N26" s="18"/>
      <c r="O26" s="116" t="s">
        <v>23</v>
      </c>
      <c r="P26" s="116" t="s">
        <v>23</v>
      </c>
      <c r="Q26" s="118" t="s">
        <v>23</v>
      </c>
      <c r="R26" s="14" t="s">
        <v>23</v>
      </c>
      <c r="S26" s="17"/>
      <c r="T26" s="17"/>
      <c r="U26" s="114"/>
      <c r="V26" s="18"/>
      <c r="W26" s="19"/>
      <c r="X26" s="19"/>
    </row>
    <row r="27" ht="22.5" customHeight="1">
      <c r="A27" s="104" t="str">
        <f t="array" ref="A27">IFERROR(TEXT(INDEX(Base!E:E,MATCH(B27,Base!A:A,0)),"mm.dd.yyyy"),"mm.dd.yyyy")
</f>
        <v>mm.dd.yyyy</v>
      </c>
      <c r="B27" s="114"/>
      <c r="C27" s="59" t="str">
        <f t="array" ref="C27">IFERROR(INDEX(Base!I:I,MATCH(B27,Base!A:A,0)),"Nome do Cliente")
</f>
        <v>Nome do Cliente</v>
      </c>
      <c r="D27" s="10" t="str">
        <f t="array" ref="D27">IFERROR(INDEX(Base!F:F,MATCH(B27,Base!A:A,0)),"Tipo do serv.")
</f>
        <v>Tipo do serv.</v>
      </c>
      <c r="E27" s="10" t="str">
        <f t="array" ref="E27">IFERROR(INDEX(Base!G:G,MATCH(B27,Base!A:A,0)),"Modelo da Cond.")</f>
        <v>Modelo da Cond.</v>
      </c>
      <c r="F27" s="10" t="str">
        <f t="array" ref="F27">IFERROR(INDEX(Base!H:H,MATCH(B27,Base!A:A,0)),"N° Serial")</f>
        <v>N° Serial</v>
      </c>
      <c r="G27" s="12" t="b">
        <v>0</v>
      </c>
      <c r="H27" s="18"/>
      <c r="I27" s="14" t="s">
        <v>23</v>
      </c>
      <c r="J27" s="14" t="s">
        <v>23</v>
      </c>
      <c r="K27" s="14" t="s">
        <v>23</v>
      </c>
      <c r="L27" s="14" t="s">
        <v>23</v>
      </c>
      <c r="M27" s="115" t="b">
        <v>0</v>
      </c>
      <c r="N27" s="18"/>
      <c r="O27" s="116" t="s">
        <v>23</v>
      </c>
      <c r="P27" s="116" t="s">
        <v>23</v>
      </c>
      <c r="Q27" s="116" t="s">
        <v>23</v>
      </c>
      <c r="R27" s="14" t="s">
        <v>23</v>
      </c>
      <c r="S27" s="17"/>
      <c r="T27" s="17"/>
      <c r="U27" s="114"/>
      <c r="V27" s="18"/>
      <c r="W27" s="19"/>
      <c r="X27" s="19"/>
    </row>
    <row r="28" ht="22.5" customHeight="1">
      <c r="A28" s="104" t="str">
        <f t="array" ref="A28">IFERROR(TEXT(INDEX(Base!E:E,MATCH(B28,Base!A:A,0)),"mm.dd.yyyy"),"mm.dd.yyyy")
</f>
        <v>mm.dd.yyyy</v>
      </c>
      <c r="B28" s="114"/>
      <c r="C28" s="59" t="str">
        <f t="array" ref="C28">IFERROR(INDEX(Base!I:I,MATCH(B28,Base!A:A,0)),"Nome do Cliente")
</f>
        <v>Nome do Cliente</v>
      </c>
      <c r="D28" s="10" t="str">
        <f t="array" ref="D28">IFERROR(INDEX(Base!F:F,MATCH(B28,Base!A:A,0)),"Tipo do serv.")
</f>
        <v>Tipo do serv.</v>
      </c>
      <c r="E28" s="10" t="str">
        <f t="array" ref="E28">IFERROR(INDEX(Base!G:G,MATCH(B28,Base!A:A,0)),"Modelo da Cond.")</f>
        <v>Modelo da Cond.</v>
      </c>
      <c r="F28" s="10" t="str">
        <f t="array" ref="F28">IFERROR(INDEX(Base!H:H,MATCH(B28,Base!A:A,0)),"N° Serial")</f>
        <v>N° Serial</v>
      </c>
      <c r="G28" s="12" t="b">
        <v>0</v>
      </c>
      <c r="H28" s="18"/>
      <c r="I28" s="14" t="s">
        <v>23</v>
      </c>
      <c r="J28" s="14" t="s">
        <v>23</v>
      </c>
      <c r="K28" s="14" t="s">
        <v>23</v>
      </c>
      <c r="L28" s="14" t="s">
        <v>23</v>
      </c>
      <c r="M28" s="117" t="b">
        <v>0</v>
      </c>
      <c r="N28" s="18"/>
      <c r="O28" s="116" t="s">
        <v>23</v>
      </c>
      <c r="P28" s="116" t="s">
        <v>23</v>
      </c>
      <c r="Q28" s="118" t="s">
        <v>23</v>
      </c>
      <c r="R28" s="14" t="s">
        <v>23</v>
      </c>
      <c r="S28" s="17"/>
      <c r="T28" s="17"/>
      <c r="U28" s="114"/>
      <c r="V28" s="18"/>
      <c r="W28" s="19"/>
      <c r="X28" s="19"/>
    </row>
    <row r="29" ht="22.5" customHeight="1">
      <c r="A29" s="104" t="str">
        <f t="array" ref="A29">IFERROR(TEXT(INDEX(Base!E:E,MATCH(B29,Base!A:A,0)),"mm.dd.yyyy"),"mm.dd.yyyy")
</f>
        <v>mm.dd.yyyy</v>
      </c>
      <c r="B29" s="114"/>
      <c r="C29" s="59" t="str">
        <f t="array" ref="C29">IFERROR(INDEX(Base!I:I,MATCH(B29,Base!A:A,0)),"Nome do Cliente")
</f>
        <v>Nome do Cliente</v>
      </c>
      <c r="D29" s="10" t="str">
        <f t="array" ref="D29">IFERROR(INDEX(Base!F:F,MATCH(B29,Base!A:A,0)),"Tipo do serv.")
</f>
        <v>Tipo do serv.</v>
      </c>
      <c r="E29" s="10" t="str">
        <f t="array" ref="E29">IFERROR(INDEX(Base!G:G,MATCH(B29,Base!A:A,0)),"Modelo da Cond.")</f>
        <v>Modelo da Cond.</v>
      </c>
      <c r="F29" s="10" t="str">
        <f t="array" ref="F29">IFERROR(INDEX(Base!H:H,MATCH(B29,Base!A:A,0)),"N° Serial")</f>
        <v>N° Serial</v>
      </c>
      <c r="G29" s="12" t="b">
        <v>0</v>
      </c>
      <c r="H29" s="18"/>
      <c r="I29" s="14" t="s">
        <v>23</v>
      </c>
      <c r="J29" s="14" t="s">
        <v>23</v>
      </c>
      <c r="K29" s="14" t="s">
        <v>23</v>
      </c>
      <c r="L29" s="14" t="s">
        <v>23</v>
      </c>
      <c r="M29" s="115" t="b">
        <v>0</v>
      </c>
      <c r="N29" s="18"/>
      <c r="O29" s="116" t="s">
        <v>23</v>
      </c>
      <c r="P29" s="116" t="s">
        <v>23</v>
      </c>
      <c r="Q29" s="116" t="s">
        <v>23</v>
      </c>
      <c r="R29" s="14" t="s">
        <v>23</v>
      </c>
      <c r="S29" s="17"/>
      <c r="T29" s="17"/>
      <c r="U29" s="114"/>
      <c r="V29" s="18"/>
      <c r="W29" s="19"/>
      <c r="X29" s="19"/>
    </row>
    <row r="30" ht="22.5" customHeight="1">
      <c r="A30" s="104" t="str">
        <f t="array" ref="A30">IFERROR(TEXT(INDEX(Base!E:E,MATCH(B30,Base!A:A,0)),"mm.dd.yyyy"),"mm.dd.yyyy")
</f>
        <v>mm.dd.yyyy</v>
      </c>
      <c r="B30" s="114"/>
      <c r="C30" s="59" t="str">
        <f t="array" ref="C30">IFERROR(INDEX(Base!I:I,MATCH(B30,Base!A:A,0)),"Nome do Cliente")
</f>
        <v>Nome do Cliente</v>
      </c>
      <c r="D30" s="10" t="str">
        <f t="array" ref="D30">IFERROR(INDEX(Base!F:F,MATCH(B30,Base!A:A,0)),"Tipo do serv.")
</f>
        <v>Tipo do serv.</v>
      </c>
      <c r="E30" s="10" t="str">
        <f t="array" ref="E30">IFERROR(INDEX(Base!G:G,MATCH(B30,Base!A:A,0)),"Modelo da Cond.")</f>
        <v>Modelo da Cond.</v>
      </c>
      <c r="F30" s="10" t="str">
        <f t="array" ref="F30">IFERROR(INDEX(Base!H:H,MATCH(B30,Base!A:A,0)),"N° Serial")</f>
        <v>N° Serial</v>
      </c>
      <c r="G30" s="12" t="b">
        <v>0</v>
      </c>
      <c r="H30" s="18"/>
      <c r="I30" s="14" t="s">
        <v>23</v>
      </c>
      <c r="J30" s="14" t="s">
        <v>23</v>
      </c>
      <c r="K30" s="14" t="s">
        <v>23</v>
      </c>
      <c r="L30" s="14" t="s">
        <v>23</v>
      </c>
      <c r="M30" s="117" t="b">
        <v>0</v>
      </c>
      <c r="N30" s="18"/>
      <c r="O30" s="116" t="s">
        <v>23</v>
      </c>
      <c r="P30" s="116" t="s">
        <v>23</v>
      </c>
      <c r="Q30" s="118" t="s">
        <v>23</v>
      </c>
      <c r="R30" s="14" t="s">
        <v>23</v>
      </c>
      <c r="S30" s="17"/>
      <c r="T30" s="17"/>
      <c r="U30" s="114"/>
      <c r="V30" s="18"/>
      <c r="W30" s="19"/>
      <c r="X30" s="19"/>
    </row>
    <row r="31" ht="22.5" customHeight="1">
      <c r="A31" s="104" t="str">
        <f t="array" ref="A31">IFERROR(TEXT(INDEX(Base!E:E,MATCH(B31,Base!A:A,0)),"mm.dd.yyyy"),"mm.dd.yyyy")
</f>
        <v>mm.dd.yyyy</v>
      </c>
      <c r="B31" s="114"/>
      <c r="C31" s="59" t="str">
        <f t="array" ref="C31">IFERROR(INDEX(Base!I:I,MATCH(B31,Base!A:A,0)),"Nome do Cliente")
</f>
        <v>Nome do Cliente</v>
      </c>
      <c r="D31" s="10" t="str">
        <f t="array" ref="D31">IFERROR(INDEX(Base!F:F,MATCH(B31,Base!A:A,0)),"Tipo do serv.")
</f>
        <v>Tipo do serv.</v>
      </c>
      <c r="E31" s="10" t="str">
        <f t="array" ref="E31">IFERROR(INDEX(Base!G:G,MATCH(B31,Base!A:A,0)),"Modelo da Cond.")</f>
        <v>Modelo da Cond.</v>
      </c>
      <c r="F31" s="10" t="str">
        <f t="array" ref="F31">IFERROR(INDEX(Base!H:H,MATCH(B31,Base!A:A,0)),"N° Serial")</f>
        <v>N° Serial</v>
      </c>
      <c r="G31" s="12" t="b">
        <v>0</v>
      </c>
      <c r="H31" s="18"/>
      <c r="I31" s="14" t="s">
        <v>23</v>
      </c>
      <c r="J31" s="14" t="s">
        <v>23</v>
      </c>
      <c r="K31" s="14" t="s">
        <v>23</v>
      </c>
      <c r="L31" s="14" t="s">
        <v>23</v>
      </c>
      <c r="M31" s="115" t="b">
        <v>0</v>
      </c>
      <c r="N31" s="18"/>
      <c r="O31" s="116" t="s">
        <v>23</v>
      </c>
      <c r="P31" s="116" t="s">
        <v>23</v>
      </c>
      <c r="Q31" s="116" t="s">
        <v>23</v>
      </c>
      <c r="R31" s="14" t="s">
        <v>23</v>
      </c>
      <c r="S31" s="17"/>
      <c r="T31" s="17"/>
      <c r="U31" s="114"/>
      <c r="V31" s="18"/>
      <c r="W31" s="19"/>
      <c r="X31" s="19"/>
    </row>
    <row r="32" ht="22.5" customHeight="1">
      <c r="A32" s="104" t="str">
        <f t="array" ref="A32">IFERROR(TEXT(INDEX(Base!E:E,MATCH(B32,Base!A:A,0)),"mm.dd.yyyy"),"mm.dd.yyyy")
</f>
        <v>mm.dd.yyyy</v>
      </c>
      <c r="B32" s="114"/>
      <c r="C32" s="59" t="str">
        <f t="array" ref="C32">IFERROR(INDEX(Base!I:I,MATCH(B32,Base!A:A,0)),"Nome do Cliente")
</f>
        <v>Nome do Cliente</v>
      </c>
      <c r="D32" s="10" t="str">
        <f t="array" ref="D32">IFERROR(INDEX(Base!F:F,MATCH(B32,Base!A:A,0)),"Tipo do serv.")
</f>
        <v>Tipo do serv.</v>
      </c>
      <c r="E32" s="10" t="str">
        <f t="array" ref="E32">IFERROR(INDEX(Base!G:G,MATCH(B32,Base!A:A,0)),"Modelo da Cond.")</f>
        <v>Modelo da Cond.</v>
      </c>
      <c r="F32" s="10" t="str">
        <f t="array" ref="F32">IFERROR(INDEX(Base!H:H,MATCH(B32,Base!A:A,0)),"N° Serial")</f>
        <v>N° Serial</v>
      </c>
      <c r="G32" s="12" t="b">
        <v>0</v>
      </c>
      <c r="H32" s="18"/>
      <c r="I32" s="14" t="s">
        <v>23</v>
      </c>
      <c r="J32" s="14" t="s">
        <v>23</v>
      </c>
      <c r="K32" s="14" t="s">
        <v>23</v>
      </c>
      <c r="L32" s="14" t="s">
        <v>23</v>
      </c>
      <c r="M32" s="117" t="b">
        <v>0</v>
      </c>
      <c r="N32" s="18"/>
      <c r="O32" s="116" t="s">
        <v>23</v>
      </c>
      <c r="P32" s="116" t="s">
        <v>23</v>
      </c>
      <c r="Q32" s="118" t="s">
        <v>23</v>
      </c>
      <c r="R32" s="14" t="s">
        <v>23</v>
      </c>
      <c r="S32" s="17"/>
      <c r="T32" s="17"/>
      <c r="U32" s="114"/>
      <c r="V32" s="18"/>
      <c r="W32" s="19"/>
      <c r="X32" s="19"/>
    </row>
    <row r="33" ht="22.5" customHeight="1">
      <c r="A33" s="104" t="str">
        <f t="array" ref="A33">IFERROR(TEXT(INDEX(Base!E:E,MATCH(B33,Base!A:A,0)),"mm.dd.yyyy"),"mm.dd.yyyy")
</f>
        <v>mm.dd.yyyy</v>
      </c>
      <c r="B33" s="114"/>
      <c r="C33" s="59" t="str">
        <f t="array" ref="C33">IFERROR(INDEX(Base!I:I,MATCH(B33,Base!A:A,0)),"Nome do Cliente")
</f>
        <v>Nome do Cliente</v>
      </c>
      <c r="D33" s="10" t="str">
        <f t="array" ref="D33">IFERROR(INDEX(Base!F:F,MATCH(B33,Base!A:A,0)),"Tipo do serv.")
</f>
        <v>Tipo do serv.</v>
      </c>
      <c r="E33" s="10" t="str">
        <f t="array" ref="E33">IFERROR(INDEX(Base!G:G,MATCH(B33,Base!A:A,0)),"Modelo da Cond.")</f>
        <v>Modelo da Cond.</v>
      </c>
      <c r="F33" s="10" t="str">
        <f t="array" ref="F33">IFERROR(INDEX(Base!H:H,MATCH(B33,Base!A:A,0)),"N° Serial")</f>
        <v>N° Serial</v>
      </c>
      <c r="G33" s="12" t="b">
        <v>0</v>
      </c>
      <c r="H33" s="18"/>
      <c r="I33" s="14" t="s">
        <v>23</v>
      </c>
      <c r="J33" s="14" t="s">
        <v>23</v>
      </c>
      <c r="K33" s="14" t="s">
        <v>23</v>
      </c>
      <c r="L33" s="14" t="s">
        <v>23</v>
      </c>
      <c r="M33" s="115" t="b">
        <v>0</v>
      </c>
      <c r="N33" s="18"/>
      <c r="O33" s="116" t="s">
        <v>23</v>
      </c>
      <c r="P33" s="116" t="s">
        <v>23</v>
      </c>
      <c r="Q33" s="116" t="s">
        <v>23</v>
      </c>
      <c r="R33" s="14" t="s">
        <v>23</v>
      </c>
      <c r="S33" s="17"/>
      <c r="T33" s="17"/>
      <c r="U33" s="114"/>
      <c r="V33" s="18"/>
      <c r="W33" s="19"/>
      <c r="X33" s="19"/>
    </row>
    <row r="34" ht="22.5" customHeight="1">
      <c r="A34" s="104" t="str">
        <f t="array" ref="A34">IFERROR(TEXT(INDEX(Base!E:E,MATCH(B34,Base!A:A,0)),"mm.dd.yyyy"),"mm.dd.yyyy")
</f>
        <v>mm.dd.yyyy</v>
      </c>
      <c r="B34" s="114"/>
      <c r="C34" s="59" t="str">
        <f t="array" ref="C34">IFERROR(INDEX(Base!I:I,MATCH(B34,Base!A:A,0)),"Nome do Cliente")
</f>
        <v>Nome do Cliente</v>
      </c>
      <c r="D34" s="10" t="str">
        <f t="array" ref="D34">IFERROR(INDEX(Base!F:F,MATCH(B34,Base!A:A,0)),"Tipo do serv.")
</f>
        <v>Tipo do serv.</v>
      </c>
      <c r="E34" s="10" t="str">
        <f t="array" ref="E34">IFERROR(INDEX(Base!G:G,MATCH(B34,Base!A:A,0)),"Modelo da Cond.")</f>
        <v>Modelo da Cond.</v>
      </c>
      <c r="F34" s="10" t="str">
        <f t="array" ref="F34">IFERROR(INDEX(Base!H:H,MATCH(B34,Base!A:A,0)),"N° Serial")</f>
        <v>N° Serial</v>
      </c>
      <c r="G34" s="12" t="b">
        <v>0</v>
      </c>
      <c r="H34" s="18"/>
      <c r="I34" s="14" t="s">
        <v>23</v>
      </c>
      <c r="J34" s="14" t="s">
        <v>23</v>
      </c>
      <c r="K34" s="14" t="s">
        <v>23</v>
      </c>
      <c r="L34" s="14" t="s">
        <v>23</v>
      </c>
      <c r="M34" s="117" t="b">
        <v>0</v>
      </c>
      <c r="N34" s="18"/>
      <c r="O34" s="116" t="s">
        <v>23</v>
      </c>
      <c r="P34" s="116" t="s">
        <v>23</v>
      </c>
      <c r="Q34" s="118" t="s">
        <v>23</v>
      </c>
      <c r="R34" s="14" t="s">
        <v>23</v>
      </c>
      <c r="S34" s="17"/>
      <c r="T34" s="17"/>
      <c r="U34" s="114"/>
      <c r="V34" s="18"/>
      <c r="W34" s="19"/>
      <c r="X34" s="19"/>
    </row>
    <row r="35" ht="22.5" customHeight="1">
      <c r="A35" s="104" t="str">
        <f t="array" ref="A35">IFERROR(TEXT(INDEX(Base!E:E,MATCH(B35,Base!A:A,0)),"mm.dd.yyyy"),"mm.dd.yyyy")
</f>
        <v>mm.dd.yyyy</v>
      </c>
      <c r="B35" s="114"/>
      <c r="C35" s="59" t="str">
        <f t="array" ref="C35">IFERROR(INDEX(Base!I:I,MATCH(B35,Base!A:A,0)),"Nome do Cliente")
</f>
        <v>Nome do Cliente</v>
      </c>
      <c r="D35" s="10" t="str">
        <f t="array" ref="D35">IFERROR(INDEX(Base!F:F,MATCH(B35,Base!A:A,0)),"Tipo do serv.")
</f>
        <v>Tipo do serv.</v>
      </c>
      <c r="E35" s="10" t="str">
        <f t="array" ref="E35">IFERROR(INDEX(Base!G:G,MATCH(B35,Base!A:A,0)),"Modelo da Cond.")</f>
        <v>Modelo da Cond.</v>
      </c>
      <c r="F35" s="10" t="str">
        <f t="array" ref="F35">IFERROR(INDEX(Base!H:H,MATCH(B35,Base!A:A,0)),"N° Serial")</f>
        <v>N° Serial</v>
      </c>
      <c r="G35" s="12" t="b">
        <v>0</v>
      </c>
      <c r="H35" s="18"/>
      <c r="I35" s="14" t="s">
        <v>23</v>
      </c>
      <c r="J35" s="14" t="s">
        <v>23</v>
      </c>
      <c r="K35" s="14" t="s">
        <v>23</v>
      </c>
      <c r="L35" s="14" t="s">
        <v>23</v>
      </c>
      <c r="M35" s="115" t="b">
        <v>0</v>
      </c>
      <c r="N35" s="18"/>
      <c r="O35" s="116" t="s">
        <v>23</v>
      </c>
      <c r="P35" s="116" t="s">
        <v>23</v>
      </c>
      <c r="Q35" s="116" t="s">
        <v>23</v>
      </c>
      <c r="R35" s="14" t="s">
        <v>23</v>
      </c>
      <c r="S35" s="17"/>
      <c r="T35" s="17"/>
      <c r="U35" s="114"/>
      <c r="V35" s="18"/>
      <c r="W35" s="19"/>
      <c r="X35" s="19"/>
    </row>
    <row r="36" ht="22.5" customHeight="1">
      <c r="A36" s="104" t="str">
        <f t="array" ref="A36">IFERROR(TEXT(INDEX(Base!E:E,MATCH(B36,Base!A:A,0)),"mm.dd.yyyy"),"mm.dd.yyyy")
</f>
        <v>mm.dd.yyyy</v>
      </c>
      <c r="B36" s="114"/>
      <c r="C36" s="59" t="str">
        <f t="array" ref="C36">IFERROR(INDEX(Base!I:I,MATCH(B36,Base!A:A,0)),"Nome do Cliente")
</f>
        <v>Nome do Cliente</v>
      </c>
      <c r="D36" s="10" t="str">
        <f t="array" ref="D36">IFERROR(INDEX(Base!F:F,MATCH(B36,Base!A:A,0)),"Tipo do serv.")
</f>
        <v>Tipo do serv.</v>
      </c>
      <c r="E36" s="10" t="str">
        <f t="array" ref="E36">IFERROR(INDEX(Base!G:G,MATCH(B36,Base!A:A,0)),"Modelo da Cond.")</f>
        <v>Modelo da Cond.</v>
      </c>
      <c r="F36" s="10" t="str">
        <f t="array" ref="F36">IFERROR(INDEX(Base!H:H,MATCH(B36,Base!A:A,0)),"N° Serial")</f>
        <v>N° Serial</v>
      </c>
      <c r="G36" s="12" t="b">
        <v>0</v>
      </c>
      <c r="H36" s="18"/>
      <c r="I36" s="14" t="s">
        <v>23</v>
      </c>
      <c r="J36" s="14" t="s">
        <v>23</v>
      </c>
      <c r="K36" s="14" t="s">
        <v>23</v>
      </c>
      <c r="L36" s="14" t="s">
        <v>23</v>
      </c>
      <c r="M36" s="117" t="b">
        <v>0</v>
      </c>
      <c r="N36" s="18"/>
      <c r="O36" s="116" t="s">
        <v>23</v>
      </c>
      <c r="P36" s="116" t="s">
        <v>23</v>
      </c>
      <c r="Q36" s="118" t="s">
        <v>23</v>
      </c>
      <c r="R36" s="14" t="s">
        <v>23</v>
      </c>
      <c r="S36" s="17"/>
      <c r="T36" s="17"/>
      <c r="U36" s="114"/>
      <c r="V36" s="18"/>
      <c r="W36" s="19"/>
      <c r="X36" s="19"/>
    </row>
    <row r="37" ht="22.5" customHeight="1">
      <c r="A37" s="104" t="str">
        <f t="array" ref="A37">IFERROR(TEXT(INDEX(Base!E:E,MATCH(B37,Base!A:A,0)),"mm.dd.yyyy"),"mm.dd.yyyy")
</f>
        <v>mm.dd.yyyy</v>
      </c>
      <c r="B37" s="114"/>
      <c r="C37" s="59" t="str">
        <f t="array" ref="C37">IFERROR(INDEX(Base!I:I,MATCH(B37,Base!A:A,0)),"Nome do Cliente")
</f>
        <v>Nome do Cliente</v>
      </c>
      <c r="D37" s="10" t="str">
        <f t="array" ref="D37">IFERROR(INDEX(Base!F:F,MATCH(B37,Base!A:A,0)),"Tipo do serv.")
</f>
        <v>Tipo do serv.</v>
      </c>
      <c r="E37" s="10" t="str">
        <f t="array" ref="E37">IFERROR(INDEX(Base!G:G,MATCH(B37,Base!A:A,0)),"Modelo da Cond.")</f>
        <v>Modelo da Cond.</v>
      </c>
      <c r="F37" s="10" t="str">
        <f t="array" ref="F37">IFERROR(INDEX(Base!H:H,MATCH(B37,Base!A:A,0)),"N° Serial")</f>
        <v>N° Serial</v>
      </c>
      <c r="G37" s="12" t="b">
        <v>0</v>
      </c>
      <c r="H37" s="18"/>
      <c r="I37" s="14" t="s">
        <v>23</v>
      </c>
      <c r="J37" s="14" t="s">
        <v>23</v>
      </c>
      <c r="K37" s="14" t="s">
        <v>23</v>
      </c>
      <c r="L37" s="14" t="s">
        <v>23</v>
      </c>
      <c r="M37" s="115" t="b">
        <v>0</v>
      </c>
      <c r="N37" s="18"/>
      <c r="O37" s="116" t="s">
        <v>23</v>
      </c>
      <c r="P37" s="116" t="s">
        <v>23</v>
      </c>
      <c r="Q37" s="116" t="s">
        <v>23</v>
      </c>
      <c r="R37" s="14" t="s">
        <v>23</v>
      </c>
      <c r="S37" s="17"/>
      <c r="T37" s="17"/>
      <c r="U37" s="114"/>
      <c r="V37" s="18"/>
      <c r="W37" s="19"/>
      <c r="X37" s="19"/>
    </row>
    <row r="38" ht="22.5" customHeight="1">
      <c r="A38" s="104" t="str">
        <f t="array" ref="A38">IFERROR(TEXT(INDEX(Base!E:E,MATCH(B38,Base!A:A,0)),"mm.dd.yyyy"),"mm.dd.yyyy")
</f>
        <v>mm.dd.yyyy</v>
      </c>
      <c r="B38" s="114"/>
      <c r="C38" s="59" t="str">
        <f t="array" ref="C38">IFERROR(INDEX(Base!I:I,MATCH(B38,Base!A:A,0)),"Nome do Cliente")
</f>
        <v>Nome do Cliente</v>
      </c>
      <c r="D38" s="10" t="str">
        <f t="array" ref="D38">IFERROR(INDEX(Base!F:F,MATCH(B38,Base!A:A,0)),"Tipo do serv.")
</f>
        <v>Tipo do serv.</v>
      </c>
      <c r="E38" s="10" t="str">
        <f t="array" ref="E38">IFERROR(INDEX(Base!G:G,MATCH(B38,Base!A:A,0)),"Modelo da Cond.")</f>
        <v>Modelo da Cond.</v>
      </c>
      <c r="F38" s="10" t="str">
        <f t="array" ref="F38">IFERROR(INDEX(Base!H:H,MATCH(B38,Base!A:A,0)),"N° Serial")</f>
        <v>N° Serial</v>
      </c>
      <c r="G38" s="12" t="b">
        <v>0</v>
      </c>
      <c r="H38" s="18"/>
      <c r="I38" s="14" t="s">
        <v>23</v>
      </c>
      <c r="J38" s="14" t="s">
        <v>23</v>
      </c>
      <c r="K38" s="14" t="s">
        <v>23</v>
      </c>
      <c r="L38" s="14" t="s">
        <v>23</v>
      </c>
      <c r="M38" s="117" t="b">
        <v>0</v>
      </c>
      <c r="N38" s="18"/>
      <c r="O38" s="116" t="s">
        <v>23</v>
      </c>
      <c r="P38" s="116" t="s">
        <v>23</v>
      </c>
      <c r="Q38" s="118" t="s">
        <v>23</v>
      </c>
      <c r="R38" s="14" t="s">
        <v>23</v>
      </c>
      <c r="S38" s="17"/>
      <c r="T38" s="17"/>
      <c r="U38" s="114"/>
      <c r="V38" s="18"/>
      <c r="W38" s="19"/>
      <c r="X38" s="19"/>
    </row>
    <row r="39" ht="22.5" customHeight="1">
      <c r="A39" s="104" t="str">
        <f t="array" ref="A39">IFERROR(TEXT(INDEX(Base!E:E,MATCH(B39,Base!A:A,0)),"mm.dd.yyyy"),"mm.dd.yyyy")
</f>
        <v>mm.dd.yyyy</v>
      </c>
      <c r="B39" s="114"/>
      <c r="C39" s="59" t="str">
        <f t="array" ref="C39">IFERROR(INDEX(Base!I:I,MATCH(B39,Base!A:A,0)),"Nome do Cliente")
</f>
        <v>Nome do Cliente</v>
      </c>
      <c r="D39" s="10" t="str">
        <f t="array" ref="D39">IFERROR(INDEX(Base!F:F,MATCH(B39,Base!A:A,0)),"Tipo do serv.")
</f>
        <v>Tipo do serv.</v>
      </c>
      <c r="E39" s="10" t="str">
        <f t="array" ref="E39">IFERROR(INDEX(Base!G:G,MATCH(B39,Base!A:A,0)),"Modelo da Cond.")</f>
        <v>Modelo da Cond.</v>
      </c>
      <c r="F39" s="10" t="str">
        <f t="array" ref="F39">IFERROR(INDEX(Base!H:H,MATCH(B39,Base!A:A,0)),"N° Serial")</f>
        <v>N° Serial</v>
      </c>
      <c r="G39" s="12" t="b">
        <v>0</v>
      </c>
      <c r="H39" s="18"/>
      <c r="I39" s="14" t="s">
        <v>23</v>
      </c>
      <c r="J39" s="14" t="s">
        <v>23</v>
      </c>
      <c r="K39" s="14" t="s">
        <v>23</v>
      </c>
      <c r="L39" s="14" t="s">
        <v>23</v>
      </c>
      <c r="M39" s="115" t="b">
        <v>0</v>
      </c>
      <c r="N39" s="18"/>
      <c r="O39" s="116" t="s">
        <v>23</v>
      </c>
      <c r="P39" s="116" t="s">
        <v>23</v>
      </c>
      <c r="Q39" s="116" t="s">
        <v>23</v>
      </c>
      <c r="R39" s="14" t="s">
        <v>23</v>
      </c>
      <c r="S39" s="17"/>
      <c r="T39" s="17"/>
      <c r="U39" s="114"/>
      <c r="V39" s="18"/>
      <c r="W39" s="19"/>
      <c r="X39" s="19"/>
    </row>
    <row r="40" ht="22.5" customHeight="1">
      <c r="A40" s="104" t="str">
        <f t="array" ref="A40">IFERROR(TEXT(INDEX(Base!E:E,MATCH(B40,Base!A:A,0)),"mm.dd.yyyy"),"mm.dd.yyyy")
</f>
        <v>mm.dd.yyyy</v>
      </c>
      <c r="B40" s="114"/>
      <c r="C40" s="59" t="str">
        <f t="array" ref="C40">IFERROR(INDEX(Base!I:I,MATCH(B40,Base!A:A,0)),"Nome do Cliente")
</f>
        <v>Nome do Cliente</v>
      </c>
      <c r="D40" s="10" t="str">
        <f t="array" ref="D40">IFERROR(INDEX(Base!F:F,MATCH(B40,Base!A:A,0)),"Tipo do serv.")
</f>
        <v>Tipo do serv.</v>
      </c>
      <c r="E40" s="10" t="str">
        <f t="array" ref="E40">IFERROR(INDEX(Base!G:G,MATCH(B40,Base!A:A,0)),"Modelo da Cond.")</f>
        <v>Modelo da Cond.</v>
      </c>
      <c r="F40" s="10" t="str">
        <f t="array" ref="F40">IFERROR(INDEX(Base!H:H,MATCH(B40,Base!A:A,0)),"N° Serial")</f>
        <v>N° Serial</v>
      </c>
      <c r="G40" s="12" t="b">
        <v>0</v>
      </c>
      <c r="H40" s="18"/>
      <c r="I40" s="14" t="s">
        <v>23</v>
      </c>
      <c r="J40" s="14" t="s">
        <v>23</v>
      </c>
      <c r="K40" s="14" t="s">
        <v>23</v>
      </c>
      <c r="L40" s="14" t="s">
        <v>23</v>
      </c>
      <c r="M40" s="117" t="b">
        <v>0</v>
      </c>
      <c r="N40" s="18"/>
      <c r="O40" s="116" t="s">
        <v>23</v>
      </c>
      <c r="P40" s="116" t="s">
        <v>23</v>
      </c>
      <c r="Q40" s="118" t="s">
        <v>23</v>
      </c>
      <c r="R40" s="14" t="s">
        <v>23</v>
      </c>
      <c r="S40" s="17"/>
      <c r="T40" s="17"/>
      <c r="U40" s="114"/>
      <c r="V40" s="18"/>
      <c r="W40" s="19"/>
      <c r="X40" s="19"/>
    </row>
    <row r="41" ht="22.5" customHeight="1">
      <c r="A41" s="104" t="str">
        <f t="array" ref="A41">IFERROR(TEXT(INDEX(Base!E:E,MATCH(B41,Base!A:A,0)),"mm.dd.yyyy"),"mm.dd.yyyy")
</f>
        <v>mm.dd.yyyy</v>
      </c>
      <c r="B41" s="114"/>
      <c r="C41" s="59" t="str">
        <f t="array" ref="C41">IFERROR(INDEX(Base!I:I,MATCH(B41,Base!A:A,0)),"Nome do Cliente")
</f>
        <v>Nome do Cliente</v>
      </c>
      <c r="D41" s="10" t="str">
        <f t="array" ref="D41">IFERROR(INDEX(Base!F:F,MATCH(B41,Base!A:A,0)),"Tipo do serv.")
</f>
        <v>Tipo do serv.</v>
      </c>
      <c r="E41" s="10" t="str">
        <f t="array" ref="E41">IFERROR(INDEX(Base!G:G,MATCH(B41,Base!A:A,0)),"Modelo da Cond.")</f>
        <v>Modelo da Cond.</v>
      </c>
      <c r="F41" s="10" t="str">
        <f t="array" ref="F41">IFERROR(INDEX(Base!H:H,MATCH(B41,Base!A:A,0)),"N° Serial")</f>
        <v>N° Serial</v>
      </c>
      <c r="G41" s="12" t="b">
        <v>0</v>
      </c>
      <c r="H41" s="18"/>
      <c r="I41" s="14" t="s">
        <v>23</v>
      </c>
      <c r="J41" s="14" t="s">
        <v>23</v>
      </c>
      <c r="K41" s="14" t="s">
        <v>23</v>
      </c>
      <c r="L41" s="14" t="s">
        <v>23</v>
      </c>
      <c r="M41" s="115" t="b">
        <v>0</v>
      </c>
      <c r="N41" s="18"/>
      <c r="O41" s="116" t="s">
        <v>23</v>
      </c>
      <c r="P41" s="116" t="s">
        <v>23</v>
      </c>
      <c r="Q41" s="116" t="s">
        <v>23</v>
      </c>
      <c r="R41" s="14" t="s">
        <v>23</v>
      </c>
      <c r="S41" s="17"/>
      <c r="T41" s="17"/>
      <c r="U41" s="114"/>
      <c r="V41" s="18"/>
      <c r="W41" s="19"/>
      <c r="X41" s="19"/>
    </row>
    <row r="42" ht="22.5" customHeight="1">
      <c r="A42" s="104" t="str">
        <f t="array" ref="A42">IFERROR(TEXT(INDEX(Base!E:E,MATCH(B42,Base!A:A,0)),"mm.dd.yyyy"),"mm.dd.yyyy")
</f>
        <v>mm.dd.yyyy</v>
      </c>
      <c r="B42" s="114"/>
      <c r="C42" s="59" t="str">
        <f t="array" ref="C42">IFERROR(INDEX(Base!I:I,MATCH(B42,Base!A:A,0)),"Nome do Cliente")
</f>
        <v>Nome do Cliente</v>
      </c>
      <c r="D42" s="10" t="str">
        <f t="array" ref="D42">IFERROR(INDEX(Base!F:F,MATCH(B42,Base!A:A,0)),"Tipo do serv.")
</f>
        <v>Tipo do serv.</v>
      </c>
      <c r="E42" s="10" t="str">
        <f t="array" ref="E42">IFERROR(INDEX(Base!G:G,MATCH(B42,Base!A:A,0)),"Modelo da Cond.")</f>
        <v>Modelo da Cond.</v>
      </c>
      <c r="F42" s="10" t="str">
        <f t="array" ref="F42">IFERROR(INDEX(Base!H:H,MATCH(B42,Base!A:A,0)),"N° Serial")</f>
        <v>N° Serial</v>
      </c>
      <c r="G42" s="12" t="b">
        <v>0</v>
      </c>
      <c r="H42" s="18"/>
      <c r="I42" s="14" t="s">
        <v>23</v>
      </c>
      <c r="J42" s="14" t="s">
        <v>23</v>
      </c>
      <c r="K42" s="14" t="s">
        <v>23</v>
      </c>
      <c r="L42" s="14" t="s">
        <v>23</v>
      </c>
      <c r="M42" s="117" t="b">
        <v>0</v>
      </c>
      <c r="N42" s="18"/>
      <c r="O42" s="116" t="s">
        <v>23</v>
      </c>
      <c r="P42" s="116" t="s">
        <v>23</v>
      </c>
      <c r="Q42" s="118" t="s">
        <v>23</v>
      </c>
      <c r="R42" s="14" t="s">
        <v>23</v>
      </c>
      <c r="S42" s="17"/>
      <c r="T42" s="17"/>
      <c r="U42" s="114"/>
      <c r="V42" s="18"/>
      <c r="W42" s="19"/>
      <c r="X42" s="19"/>
    </row>
    <row r="43" ht="22.5" customHeight="1">
      <c r="A43" s="104" t="str">
        <f t="array" ref="A43">IFERROR(TEXT(INDEX(Base!E:E,MATCH(B43,Base!A:A,0)),"mm.dd.yyyy"),"mm.dd.yyyy")
</f>
        <v>mm.dd.yyyy</v>
      </c>
      <c r="B43" s="114"/>
      <c r="C43" s="59" t="str">
        <f t="array" ref="C43">IFERROR(INDEX(Base!I:I,MATCH(B43,Base!A:A,0)),"Nome do Cliente")
</f>
        <v>Nome do Cliente</v>
      </c>
      <c r="D43" s="10" t="str">
        <f t="array" ref="D43">IFERROR(INDEX(Base!F:F,MATCH(B43,Base!A:A,0)),"Tipo do serv.")
</f>
        <v>Tipo do serv.</v>
      </c>
      <c r="E43" s="10" t="str">
        <f t="array" ref="E43">IFERROR(INDEX(Base!G:G,MATCH(B43,Base!A:A,0)),"Modelo da Cond.")</f>
        <v>Modelo da Cond.</v>
      </c>
      <c r="F43" s="10" t="str">
        <f t="array" ref="F43">IFERROR(INDEX(Base!H:H,MATCH(B43,Base!A:A,0)),"N° Serial")</f>
        <v>N° Serial</v>
      </c>
      <c r="G43" s="12" t="b">
        <v>0</v>
      </c>
      <c r="H43" s="18"/>
      <c r="I43" s="14" t="s">
        <v>23</v>
      </c>
      <c r="J43" s="14" t="s">
        <v>23</v>
      </c>
      <c r="K43" s="14" t="s">
        <v>23</v>
      </c>
      <c r="L43" s="14" t="s">
        <v>23</v>
      </c>
      <c r="M43" s="115" t="b">
        <v>0</v>
      </c>
      <c r="N43" s="18"/>
      <c r="O43" s="116" t="s">
        <v>23</v>
      </c>
      <c r="P43" s="116" t="s">
        <v>23</v>
      </c>
      <c r="Q43" s="116" t="s">
        <v>23</v>
      </c>
      <c r="R43" s="14" t="s">
        <v>23</v>
      </c>
      <c r="S43" s="17"/>
      <c r="T43" s="17"/>
      <c r="U43" s="114"/>
      <c r="V43" s="18"/>
      <c r="W43" s="19"/>
      <c r="X43" s="19"/>
    </row>
    <row r="44" ht="22.5" customHeight="1">
      <c r="A44" s="104" t="str">
        <f t="array" ref="A44">IFERROR(TEXT(INDEX(Base!E:E,MATCH(B44,Base!A:A,0)),"mm.dd.yyyy"),"mm.dd.yyyy")
</f>
        <v>mm.dd.yyyy</v>
      </c>
      <c r="B44" s="114"/>
      <c r="C44" s="59" t="str">
        <f t="array" ref="C44">IFERROR(INDEX(Base!I:I,MATCH(B44,Base!A:A,0)),"Nome do Cliente")
</f>
        <v>Nome do Cliente</v>
      </c>
      <c r="D44" s="10" t="str">
        <f t="array" ref="D44">IFERROR(INDEX(Base!F:F,MATCH(B44,Base!A:A,0)),"Tipo do serv.")
</f>
        <v>Tipo do serv.</v>
      </c>
      <c r="E44" s="10" t="str">
        <f t="array" ref="E44">IFERROR(INDEX(Base!G:G,MATCH(B44,Base!A:A,0)),"Modelo da Cond.")</f>
        <v>Modelo da Cond.</v>
      </c>
      <c r="F44" s="10" t="str">
        <f t="array" ref="F44">IFERROR(INDEX(Base!H:H,MATCH(B44,Base!A:A,0)),"N° Serial")</f>
        <v>N° Serial</v>
      </c>
      <c r="G44" s="12" t="b">
        <v>0</v>
      </c>
      <c r="H44" s="18"/>
      <c r="I44" s="14" t="s">
        <v>23</v>
      </c>
      <c r="J44" s="14" t="s">
        <v>23</v>
      </c>
      <c r="K44" s="14" t="s">
        <v>23</v>
      </c>
      <c r="L44" s="14" t="s">
        <v>23</v>
      </c>
      <c r="M44" s="117" t="b">
        <v>0</v>
      </c>
      <c r="N44" s="18"/>
      <c r="O44" s="116" t="s">
        <v>23</v>
      </c>
      <c r="P44" s="116" t="s">
        <v>23</v>
      </c>
      <c r="Q44" s="118" t="s">
        <v>23</v>
      </c>
      <c r="R44" s="14" t="s">
        <v>23</v>
      </c>
      <c r="S44" s="17"/>
      <c r="T44" s="17"/>
      <c r="U44" s="114"/>
      <c r="V44" s="18"/>
      <c r="W44" s="19"/>
      <c r="X44" s="19"/>
    </row>
    <row r="45" ht="22.5" customHeight="1">
      <c r="A45" s="104" t="str">
        <f t="array" ref="A45">IFERROR(TEXT(INDEX(Base!E:E,MATCH(B45,Base!A:A,0)),"mm.dd.yyyy"),"mm.dd.yyyy")
</f>
        <v>mm.dd.yyyy</v>
      </c>
      <c r="B45" s="114"/>
      <c r="C45" s="59" t="str">
        <f t="array" ref="C45">IFERROR(INDEX(Base!I:I,MATCH(B45,Base!A:A,0)),"Nome do Cliente")
</f>
        <v>Nome do Cliente</v>
      </c>
      <c r="D45" s="10" t="str">
        <f t="array" ref="D45">IFERROR(INDEX(Base!F:F,MATCH(B45,Base!A:A,0)),"Tipo do serv.")
</f>
        <v>Tipo do serv.</v>
      </c>
      <c r="E45" s="10" t="str">
        <f t="array" ref="E45">IFERROR(INDEX(Base!G:G,MATCH(B45,Base!A:A,0)),"Modelo da Cond.")</f>
        <v>Modelo da Cond.</v>
      </c>
      <c r="F45" s="10" t="str">
        <f t="array" ref="F45">IFERROR(INDEX(Base!H:H,MATCH(B45,Base!A:A,0)),"N° Serial")</f>
        <v>N° Serial</v>
      </c>
      <c r="G45" s="12" t="b">
        <v>0</v>
      </c>
      <c r="H45" s="18"/>
      <c r="I45" s="14" t="s">
        <v>23</v>
      </c>
      <c r="J45" s="14" t="s">
        <v>23</v>
      </c>
      <c r="K45" s="14" t="s">
        <v>23</v>
      </c>
      <c r="L45" s="14" t="s">
        <v>23</v>
      </c>
      <c r="M45" s="115" t="b">
        <v>0</v>
      </c>
      <c r="N45" s="18"/>
      <c r="O45" s="116" t="s">
        <v>23</v>
      </c>
      <c r="P45" s="116" t="s">
        <v>23</v>
      </c>
      <c r="Q45" s="116" t="s">
        <v>23</v>
      </c>
      <c r="R45" s="14" t="s">
        <v>23</v>
      </c>
      <c r="S45" s="17"/>
      <c r="T45" s="17"/>
      <c r="U45" s="114"/>
      <c r="V45" s="18"/>
      <c r="W45" s="19"/>
      <c r="X45" s="19"/>
    </row>
    <row r="46" ht="22.5" customHeight="1">
      <c r="A46" s="104" t="str">
        <f t="array" ref="A46">IFERROR(TEXT(INDEX(Base!E:E,MATCH(B46,Base!A:A,0)),"mm.dd.yyyy"),"mm.dd.yyyy")
</f>
        <v>mm.dd.yyyy</v>
      </c>
      <c r="B46" s="114"/>
      <c r="C46" s="59" t="str">
        <f t="array" ref="C46">IFERROR(INDEX(Base!I:I,MATCH(B46,Base!A:A,0)),"Nome do Cliente")
</f>
        <v>Nome do Cliente</v>
      </c>
      <c r="D46" s="10" t="str">
        <f t="array" ref="D46">IFERROR(INDEX(Base!F:F,MATCH(B46,Base!A:A,0)),"Tipo do serv.")
</f>
        <v>Tipo do serv.</v>
      </c>
      <c r="E46" s="10" t="str">
        <f t="array" ref="E46">IFERROR(INDEX(Base!G:G,MATCH(B46,Base!A:A,0)),"Modelo da Cond.")</f>
        <v>Modelo da Cond.</v>
      </c>
      <c r="F46" s="10" t="str">
        <f t="array" ref="F46">IFERROR(INDEX(Base!H:H,MATCH(B46,Base!A:A,0)),"N° Serial")</f>
        <v>N° Serial</v>
      </c>
      <c r="G46" s="12" t="b">
        <v>0</v>
      </c>
      <c r="H46" s="18"/>
      <c r="I46" s="14" t="s">
        <v>23</v>
      </c>
      <c r="J46" s="14" t="s">
        <v>23</v>
      </c>
      <c r="K46" s="14" t="s">
        <v>23</v>
      </c>
      <c r="L46" s="14" t="s">
        <v>23</v>
      </c>
      <c r="M46" s="117" t="b">
        <v>0</v>
      </c>
      <c r="N46" s="18"/>
      <c r="O46" s="116" t="s">
        <v>23</v>
      </c>
      <c r="P46" s="116" t="s">
        <v>23</v>
      </c>
      <c r="Q46" s="118" t="s">
        <v>23</v>
      </c>
      <c r="R46" s="14" t="s">
        <v>23</v>
      </c>
      <c r="S46" s="17"/>
      <c r="T46" s="17"/>
      <c r="U46" s="114"/>
      <c r="V46" s="18"/>
      <c r="W46" s="19"/>
      <c r="X46" s="19"/>
    </row>
    <row r="47" ht="22.5" customHeight="1">
      <c r="A47" s="104" t="str">
        <f t="array" ref="A47">IFERROR(TEXT(INDEX(Base!E:E,MATCH(B47,Base!A:A,0)),"mm.dd.yyyy"),"mm.dd.yyyy")
</f>
        <v>mm.dd.yyyy</v>
      </c>
      <c r="B47" s="114"/>
      <c r="C47" s="59" t="str">
        <f t="array" ref="C47">IFERROR(INDEX(Base!I:I,MATCH(B47,Base!A:A,0)),"Nome do Cliente")
</f>
        <v>Nome do Cliente</v>
      </c>
      <c r="D47" s="10" t="str">
        <f t="array" ref="D47">IFERROR(INDEX(Base!F:F,MATCH(B47,Base!A:A,0)),"Tipo do serv.")
</f>
        <v>Tipo do serv.</v>
      </c>
      <c r="E47" s="10" t="str">
        <f t="array" ref="E47">IFERROR(INDEX(Base!G:G,MATCH(B47,Base!A:A,0)),"Modelo da Cond.")</f>
        <v>Modelo da Cond.</v>
      </c>
      <c r="F47" s="10" t="str">
        <f t="array" ref="F47">IFERROR(INDEX(Base!H:H,MATCH(B47,Base!A:A,0)),"N° Serial")</f>
        <v>N° Serial</v>
      </c>
      <c r="G47" s="12" t="b">
        <v>0</v>
      </c>
      <c r="H47" s="18"/>
      <c r="I47" s="14" t="s">
        <v>23</v>
      </c>
      <c r="J47" s="14" t="s">
        <v>23</v>
      </c>
      <c r="K47" s="14" t="s">
        <v>23</v>
      </c>
      <c r="L47" s="14" t="s">
        <v>23</v>
      </c>
      <c r="M47" s="115" t="b">
        <v>0</v>
      </c>
      <c r="N47" s="18"/>
      <c r="O47" s="116" t="s">
        <v>23</v>
      </c>
      <c r="P47" s="116" t="s">
        <v>23</v>
      </c>
      <c r="Q47" s="116" t="s">
        <v>23</v>
      </c>
      <c r="R47" s="14" t="s">
        <v>23</v>
      </c>
      <c r="S47" s="17"/>
      <c r="T47" s="17"/>
      <c r="U47" s="114"/>
      <c r="V47" s="18"/>
      <c r="W47" s="19"/>
      <c r="X47" s="19"/>
    </row>
    <row r="48" ht="22.5" customHeight="1">
      <c r="A48" s="104" t="str">
        <f t="array" ref="A48">IFERROR(TEXT(INDEX(Base!E:E,MATCH(B48,Base!A:A,0)),"mm.dd.yyyy"),"mm.dd.yyyy")
</f>
        <v>mm.dd.yyyy</v>
      </c>
      <c r="B48" s="114"/>
      <c r="C48" s="59" t="str">
        <f t="array" ref="C48">IFERROR(INDEX(Base!I:I,MATCH(B48,Base!A:A,0)),"Nome do Cliente")
</f>
        <v>Nome do Cliente</v>
      </c>
      <c r="D48" s="10" t="str">
        <f t="array" ref="D48">IFERROR(INDEX(Base!F:F,MATCH(B48,Base!A:A,0)),"Tipo do serv.")
</f>
        <v>Tipo do serv.</v>
      </c>
      <c r="E48" s="10" t="str">
        <f t="array" ref="E48">IFERROR(INDEX(Base!G:G,MATCH(B48,Base!A:A,0)),"Modelo da Cond.")</f>
        <v>Modelo da Cond.</v>
      </c>
      <c r="F48" s="10" t="str">
        <f t="array" ref="F48">IFERROR(INDEX(Base!H:H,MATCH(B48,Base!A:A,0)),"N° Serial")</f>
        <v>N° Serial</v>
      </c>
      <c r="G48" s="12" t="b">
        <v>0</v>
      </c>
      <c r="H48" s="18"/>
      <c r="I48" s="14" t="s">
        <v>23</v>
      </c>
      <c r="J48" s="14" t="s">
        <v>23</v>
      </c>
      <c r="K48" s="14" t="s">
        <v>23</v>
      </c>
      <c r="L48" s="14" t="s">
        <v>23</v>
      </c>
      <c r="M48" s="117" t="b">
        <v>0</v>
      </c>
      <c r="N48" s="18"/>
      <c r="O48" s="116" t="s">
        <v>23</v>
      </c>
      <c r="P48" s="116" t="s">
        <v>23</v>
      </c>
      <c r="Q48" s="118" t="s">
        <v>23</v>
      </c>
      <c r="R48" s="14" t="s">
        <v>23</v>
      </c>
      <c r="S48" s="17"/>
      <c r="T48" s="17"/>
      <c r="U48" s="114"/>
      <c r="V48" s="18"/>
      <c r="W48" s="19"/>
      <c r="X48" s="19"/>
    </row>
    <row r="49" ht="22.5" customHeight="1">
      <c r="A49" s="104" t="str">
        <f t="array" ref="A49">IFERROR(TEXT(INDEX(Base!E:E,MATCH(B49,Base!A:A,0)),"mm.dd.yyyy"),"mm.dd.yyyy")
</f>
        <v>mm.dd.yyyy</v>
      </c>
      <c r="B49" s="114"/>
      <c r="C49" s="59" t="str">
        <f t="array" ref="C49">IFERROR(INDEX(Base!I:I,MATCH(B49,Base!A:A,0)),"Nome do Cliente")
</f>
        <v>Nome do Cliente</v>
      </c>
      <c r="D49" s="10" t="str">
        <f t="array" ref="D49">IFERROR(INDEX(Base!F:F,MATCH(B49,Base!A:A,0)),"Tipo do serv.")
</f>
        <v>Tipo do serv.</v>
      </c>
      <c r="E49" s="10" t="str">
        <f t="array" ref="E49">IFERROR(INDEX(Base!G:G,MATCH(B49,Base!A:A,0)),"Modelo da Cond.")</f>
        <v>Modelo da Cond.</v>
      </c>
      <c r="F49" s="10" t="str">
        <f t="array" ref="F49">IFERROR(INDEX(Base!H:H,MATCH(B49,Base!A:A,0)),"N° Serial")</f>
        <v>N° Serial</v>
      </c>
      <c r="G49" s="12" t="b">
        <v>0</v>
      </c>
      <c r="H49" s="18"/>
      <c r="I49" s="14" t="s">
        <v>23</v>
      </c>
      <c r="J49" s="14" t="s">
        <v>23</v>
      </c>
      <c r="K49" s="14" t="s">
        <v>23</v>
      </c>
      <c r="L49" s="14" t="s">
        <v>23</v>
      </c>
      <c r="M49" s="117" t="b">
        <v>0</v>
      </c>
      <c r="N49" s="18"/>
      <c r="O49" s="116" t="s">
        <v>23</v>
      </c>
      <c r="P49" s="116" t="s">
        <v>23</v>
      </c>
      <c r="Q49" s="119" t="s">
        <v>23</v>
      </c>
      <c r="R49" s="14" t="s">
        <v>23</v>
      </c>
      <c r="S49" s="17"/>
      <c r="T49" s="17"/>
      <c r="U49" s="114"/>
      <c r="V49" s="18"/>
      <c r="W49" s="19"/>
      <c r="X49" s="19"/>
    </row>
    <row r="50" ht="22.5" customHeight="1">
      <c r="A50" s="104" t="str">
        <f t="array" ref="A50">IFERROR(TEXT(INDEX(Base!E:E,MATCH(B50,Base!A:A,0)),"mm.dd.yyyy"),"mm.dd.yyyy")
</f>
        <v>mm.dd.yyyy</v>
      </c>
      <c r="B50" s="114"/>
      <c r="C50" s="59" t="str">
        <f t="array" ref="C50">IFERROR(INDEX(Base!I:I,MATCH(B50,Base!A:A,0)),"Nome do Cliente")
</f>
        <v>Nome do Cliente</v>
      </c>
      <c r="D50" s="10" t="str">
        <f t="array" ref="D50">IFERROR(INDEX(Base!F:F,MATCH(B50,Base!A:A,0)),"Tipo do serv.")
</f>
        <v>Tipo do serv.</v>
      </c>
      <c r="E50" s="10" t="str">
        <f t="array" ref="E50">IFERROR(INDEX(Base!G:G,MATCH(B50,Base!A:A,0)),"Modelo da Cond.")</f>
        <v>Modelo da Cond.</v>
      </c>
      <c r="F50" s="10" t="str">
        <f t="array" ref="F50">IFERROR(INDEX(Base!H:H,MATCH(B50,Base!A:A,0)),"N° Serial")</f>
        <v>N° Serial</v>
      </c>
      <c r="G50" s="12" t="b">
        <v>0</v>
      </c>
      <c r="H50" s="18"/>
      <c r="I50" s="17"/>
      <c r="J50" s="17"/>
      <c r="K50" s="14"/>
      <c r="L50" s="14"/>
      <c r="M50" s="120" t="b">
        <v>0</v>
      </c>
      <c r="N50" s="18"/>
      <c r="O50" s="121"/>
      <c r="P50" s="121"/>
      <c r="Q50" s="121"/>
      <c r="R50" s="17"/>
      <c r="S50" s="17"/>
      <c r="T50" s="17"/>
      <c r="U50" s="114"/>
      <c r="V50" s="18"/>
      <c r="W50" s="19"/>
      <c r="X50" s="19"/>
    </row>
    <row r="51" ht="22.5" customHeight="1">
      <c r="A51" s="104" t="str">
        <f t="array" ref="A51">IFERROR(TEXT(INDEX(Base!E:E,MATCH(B51,Base!A:A,0)),"mm.dd.yyyy"),"mm.dd.yyyy")
</f>
        <v>mm.dd.yyyy</v>
      </c>
      <c r="B51" s="114"/>
      <c r="C51" s="59" t="str">
        <f t="array" ref="C51">IFERROR(INDEX(Base!I:I,MATCH(B51,Base!A:A,0)),"Nome do Cliente")
</f>
        <v>Nome do Cliente</v>
      </c>
      <c r="D51" s="10" t="str">
        <f t="array" ref="D51">IFERROR(INDEX(Base!F:F,MATCH(B51,Base!A:A,0)),"Tipo do serv.")
</f>
        <v>Tipo do serv.</v>
      </c>
      <c r="E51" s="10" t="str">
        <f t="array" ref="E51">IFERROR(INDEX(Base!G:G,MATCH(B51,Base!A:A,0)),"Modelo da Cond.")</f>
        <v>Modelo da Cond.</v>
      </c>
      <c r="F51" s="10" t="str">
        <f t="array" ref="F51">IFERROR(INDEX(Base!H:H,MATCH(B51,Base!A:A,0)),"N° Serial")</f>
        <v>N° Serial</v>
      </c>
      <c r="G51" s="12" t="b">
        <v>0</v>
      </c>
      <c r="H51" s="18"/>
      <c r="I51" s="17"/>
      <c r="J51" s="17"/>
      <c r="K51" s="14"/>
      <c r="L51" s="14"/>
      <c r="M51" s="120" t="b">
        <v>0</v>
      </c>
      <c r="N51" s="18"/>
      <c r="O51" s="121"/>
      <c r="P51" s="121"/>
      <c r="Q51" s="121"/>
      <c r="R51" s="17"/>
      <c r="S51" s="17"/>
      <c r="T51" s="17"/>
      <c r="U51" s="114"/>
      <c r="V51" s="18"/>
      <c r="W51" s="19"/>
      <c r="X51" s="19"/>
    </row>
    <row r="52" ht="22.5" customHeight="1">
      <c r="A52" s="104" t="str">
        <f t="array" ref="A52">IFERROR(TEXT(INDEX(Base!E:E,MATCH(B52,Base!A:A,0)),"mm.dd.yyyy"),"mm.dd.yyyy")
</f>
        <v>mm.dd.yyyy</v>
      </c>
      <c r="B52" s="114"/>
      <c r="C52" s="59" t="str">
        <f t="array" ref="C52">IFERROR(INDEX(Base!I:I,MATCH(B52,Base!A:A,0)),"Nome do Cliente")
</f>
        <v>Nome do Cliente</v>
      </c>
      <c r="D52" s="10" t="str">
        <f t="array" ref="D52">IFERROR(INDEX(Base!F:F,MATCH(B52,Base!A:A,0)),"Tipo do serv.")
</f>
        <v>Tipo do serv.</v>
      </c>
      <c r="E52" s="10" t="str">
        <f t="array" ref="E52">IFERROR(INDEX(Base!G:G,MATCH(B52,Base!A:A,0)),"Modelo da Cond.")</f>
        <v>Modelo da Cond.</v>
      </c>
      <c r="F52" s="10" t="str">
        <f t="array" ref="F52">IFERROR(INDEX(Base!H:H,MATCH(B52,Base!A:A,0)),"N° Serial")</f>
        <v>N° Serial</v>
      </c>
      <c r="G52" s="12" t="b">
        <v>0</v>
      </c>
      <c r="H52" s="18"/>
      <c r="I52" s="17"/>
      <c r="J52" s="17"/>
      <c r="K52" s="14"/>
      <c r="L52" s="14"/>
      <c r="M52" s="120" t="b">
        <v>0</v>
      </c>
      <c r="N52" s="18"/>
      <c r="O52" s="121"/>
      <c r="P52" s="121"/>
      <c r="Q52" s="121"/>
      <c r="R52" s="17"/>
      <c r="S52" s="17"/>
      <c r="T52" s="17"/>
      <c r="U52" s="114"/>
      <c r="V52" s="18"/>
      <c r="W52" s="19"/>
      <c r="X52" s="19"/>
    </row>
    <row r="53" ht="22.5" customHeight="1">
      <c r="A53" s="104" t="str">
        <f t="array" ref="A53">IFERROR(TEXT(INDEX(Base!E:E,MATCH(B53,Base!A:A,0)),"mm.dd.yyyy"),"mm.dd.yyyy")
</f>
        <v>mm.dd.yyyy</v>
      </c>
      <c r="B53" s="114"/>
      <c r="C53" s="59" t="str">
        <f t="array" ref="C53">IFERROR(INDEX(Base!I:I,MATCH(B53,Base!A:A,0)),"Nome do Cliente")
</f>
        <v>Nome do Cliente</v>
      </c>
      <c r="D53" s="10" t="str">
        <f t="array" ref="D53">IFERROR(INDEX(Base!F:F,MATCH(B53,Base!A:A,0)),"Tipo do serv.")
</f>
        <v>Tipo do serv.</v>
      </c>
      <c r="E53" s="10" t="str">
        <f t="array" ref="E53">IFERROR(INDEX(Base!G:G,MATCH(B53,Base!A:A,0)),"Modelo da Cond.")</f>
        <v>Modelo da Cond.</v>
      </c>
      <c r="F53" s="10" t="str">
        <f t="array" ref="F53">IFERROR(INDEX(Base!H:H,MATCH(B53,Base!A:A,0)),"N° Serial")</f>
        <v>N° Serial</v>
      </c>
      <c r="G53" s="12" t="b">
        <v>0</v>
      </c>
      <c r="H53" s="18"/>
      <c r="I53" s="17"/>
      <c r="J53" s="17"/>
      <c r="K53" s="14"/>
      <c r="L53" s="14"/>
      <c r="M53" s="120" t="b">
        <v>0</v>
      </c>
      <c r="N53" s="18"/>
      <c r="O53" s="121"/>
      <c r="P53" s="121"/>
      <c r="Q53" s="121"/>
      <c r="R53" s="17"/>
      <c r="S53" s="17"/>
      <c r="T53" s="17"/>
      <c r="U53" s="114"/>
      <c r="V53" s="18"/>
      <c r="W53" s="19"/>
      <c r="X53" s="19"/>
    </row>
    <row r="54" ht="22.5" customHeight="1">
      <c r="A54" s="104" t="str">
        <f t="array" ref="A54">IFERROR(TEXT(INDEX(Base!E:E,MATCH(B54,Base!A:A,0)),"mm.dd.yyyy"),"mm.dd.yyyy")
</f>
        <v>mm.dd.yyyy</v>
      </c>
      <c r="B54" s="114"/>
      <c r="C54" s="59" t="str">
        <f t="array" ref="C54">IFERROR(INDEX(Base!I:I,MATCH(B54,Base!A:A,0)),"Nome do Cliente")
</f>
        <v>Nome do Cliente</v>
      </c>
      <c r="D54" s="10" t="str">
        <f t="array" ref="D54">IFERROR(INDEX(Base!F:F,MATCH(B54,Base!A:A,0)),"Tipo do serv.")
</f>
        <v>Tipo do serv.</v>
      </c>
      <c r="E54" s="10" t="str">
        <f t="array" ref="E54">IFERROR(INDEX(Base!G:G,MATCH(B54,Base!A:A,0)),"Modelo da Cond.")</f>
        <v>Modelo da Cond.</v>
      </c>
      <c r="F54" s="10" t="str">
        <f t="array" ref="F54">IFERROR(INDEX(Base!H:H,MATCH(B54,Base!A:A,0)),"N° Serial")</f>
        <v>N° Serial</v>
      </c>
      <c r="G54" s="12" t="b">
        <v>0</v>
      </c>
      <c r="H54" s="18"/>
      <c r="I54" s="17"/>
      <c r="J54" s="17"/>
      <c r="K54" s="14"/>
      <c r="L54" s="14"/>
      <c r="M54" s="120" t="b">
        <v>0</v>
      </c>
      <c r="N54" s="18"/>
      <c r="O54" s="121"/>
      <c r="P54" s="121"/>
      <c r="Q54" s="121"/>
      <c r="R54" s="17"/>
      <c r="S54" s="17"/>
      <c r="T54" s="17"/>
      <c r="U54" s="114"/>
      <c r="V54" s="18"/>
      <c r="W54" s="19"/>
      <c r="X54" s="19"/>
    </row>
    <row r="55" ht="22.5" customHeight="1">
      <c r="A55" s="104" t="str">
        <f t="array" ref="A55">IFERROR(TEXT(INDEX(Base!E:E,MATCH(B55,Base!A:A,0)),"mm.dd.yyyy"),"mm.dd.yyyy")
</f>
        <v>mm.dd.yyyy</v>
      </c>
      <c r="B55" s="114"/>
      <c r="C55" s="59" t="str">
        <f t="array" ref="C55">IFERROR(INDEX(Base!I:I,MATCH(B55,Base!A:A,0)),"Nome do Cliente")
</f>
        <v>Nome do Cliente</v>
      </c>
      <c r="D55" s="10" t="str">
        <f t="array" ref="D55">IFERROR(INDEX(Base!F:F,MATCH(B55,Base!A:A,0)),"Tipo do serv.")
</f>
        <v>Tipo do serv.</v>
      </c>
      <c r="E55" s="10" t="str">
        <f t="array" ref="E55">IFERROR(INDEX(Base!G:G,MATCH(B55,Base!A:A,0)),"Modelo da Cond.")</f>
        <v>Modelo da Cond.</v>
      </c>
      <c r="F55" s="10" t="str">
        <f t="array" ref="F55">IFERROR(INDEX(Base!H:H,MATCH(B55,Base!A:A,0)),"N° Serial")</f>
        <v>N° Serial</v>
      </c>
      <c r="G55" s="12" t="b">
        <v>0</v>
      </c>
      <c r="H55" s="18"/>
      <c r="I55" s="17"/>
      <c r="J55" s="17"/>
      <c r="K55" s="14"/>
      <c r="L55" s="14"/>
      <c r="M55" s="120" t="b">
        <v>0</v>
      </c>
      <c r="N55" s="18"/>
      <c r="O55" s="121"/>
      <c r="P55" s="121"/>
      <c r="Q55" s="121"/>
      <c r="R55" s="17"/>
      <c r="S55" s="17"/>
      <c r="T55" s="17"/>
      <c r="U55" s="114"/>
      <c r="V55" s="18"/>
      <c r="W55" s="19"/>
      <c r="X55" s="19"/>
    </row>
  </sheetData>
  <dataValidations>
    <dataValidation type="list" allowBlank="1" sqref="I2:J55">
      <formula1>"Sim,Não"</formula1>
    </dataValidation>
    <dataValidation type="list" allowBlank="1" sqref="R2:R55">
      <formula1>"Sim,Não"</formula1>
    </dataValidation>
    <dataValidation type="list" allowBlank="1" sqref="S2:T55">
      <formula1>"Não iniciado,Em execução,Realizado, não lançado,Realizado e lançado"</formula1>
    </dataValidation>
    <dataValidation type="list" allowBlank="1" sqref="K2:L55 O2:Q55">
      <formula1>"Sim,Não"</formula1>
    </dataValidation>
    <dataValidation type="custom" allowBlank="1" showDropDown="1" sqref="H2:H55 N2:N55 V2:V55">
      <formula1>OR(NOT(ISERROR(DATEVALUE(H2))), AND(ISNUMBER(H2), LEFT(CELL("format", H2))="D"))</formula1>
    </dataValidation>
    <dataValidation allowBlank="1" showDropDown="1" sqref="B2:C55 U2:U55 X2:X55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5.75"/>
  </cols>
  <sheetData>
    <row r="1">
      <c r="A1" s="122" t="s">
        <v>894</v>
      </c>
      <c r="B1" s="123" t="s">
        <v>895</v>
      </c>
      <c r="C1" s="123" t="s">
        <v>896</v>
      </c>
      <c r="D1" s="123" t="s">
        <v>897</v>
      </c>
      <c r="E1" s="123" t="s">
        <v>898</v>
      </c>
      <c r="F1" s="123" t="s">
        <v>899</v>
      </c>
      <c r="G1" s="123" t="s">
        <v>900</v>
      </c>
      <c r="H1" s="123" t="s">
        <v>901</v>
      </c>
      <c r="I1" s="122" t="s">
        <v>902</v>
      </c>
      <c r="J1" s="123" t="s">
        <v>903</v>
      </c>
      <c r="K1" s="124"/>
      <c r="L1" s="125" t="s">
        <v>904</v>
      </c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hidden="1">
      <c r="A2" s="126" t="s">
        <v>238</v>
      </c>
      <c r="B2" s="127"/>
      <c r="C2" s="127"/>
      <c r="D2" s="128"/>
      <c r="E2" s="129" t="s">
        <v>905</v>
      </c>
      <c r="F2" s="129" t="s">
        <v>906</v>
      </c>
      <c r="G2" s="129" t="s">
        <v>907</v>
      </c>
      <c r="H2" s="129" t="s">
        <v>908</v>
      </c>
      <c r="I2" s="126" t="s">
        <v>909</v>
      </c>
      <c r="J2" s="129" t="s">
        <v>910</v>
      </c>
      <c r="K2" s="124"/>
      <c r="L2" s="124" t="str">
        <f t="array" ref="L2">IFERROR(INDEX('Gerenciamento IH'!B:B,MATCH(A2,'Gerenciamento IH'!B:B,0)), "Não está")</f>
        <v>4175596969</v>
      </c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</row>
    <row r="3" hidden="1">
      <c r="A3" s="126" t="s">
        <v>239</v>
      </c>
      <c r="B3" s="127"/>
      <c r="C3" s="127"/>
      <c r="D3" s="128"/>
      <c r="E3" s="129" t="s">
        <v>905</v>
      </c>
      <c r="F3" s="129" t="s">
        <v>906</v>
      </c>
      <c r="G3" s="129" t="s">
        <v>911</v>
      </c>
      <c r="H3" s="129" t="s">
        <v>912</v>
      </c>
      <c r="I3" s="126" t="s">
        <v>913</v>
      </c>
      <c r="J3" s="129" t="s">
        <v>910</v>
      </c>
      <c r="K3" s="124"/>
      <c r="L3" s="124" t="str">
        <f t="array" ref="L3">IFERROR(INDEX('Gerenciamento IH'!B:B,MATCH(A3,'Gerenciamento IH'!B:B,0)), "Não está")</f>
        <v>4175597132</v>
      </c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</row>
    <row r="4" hidden="1">
      <c r="A4" s="126" t="s">
        <v>242</v>
      </c>
      <c r="B4" s="127"/>
      <c r="C4" s="127"/>
      <c r="D4" s="128"/>
      <c r="E4" s="129" t="s">
        <v>914</v>
      </c>
      <c r="F4" s="129" t="s">
        <v>906</v>
      </c>
      <c r="G4" s="129" t="s">
        <v>915</v>
      </c>
      <c r="H4" s="129" t="s">
        <v>908</v>
      </c>
      <c r="I4" s="126" t="s">
        <v>916</v>
      </c>
      <c r="J4" s="129" t="s">
        <v>910</v>
      </c>
      <c r="K4" s="124"/>
      <c r="L4" s="124" t="str">
        <f t="array" ref="L4">IFERROR(INDEX('Gerenciamento IH'!B:B,MATCH(A4,'Gerenciamento IH'!B:B,0)), "Não está")</f>
        <v>4175606739</v>
      </c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</row>
    <row r="5" hidden="1">
      <c r="A5" s="126" t="s">
        <v>243</v>
      </c>
      <c r="B5" s="127"/>
      <c r="C5" s="127"/>
      <c r="D5" s="128"/>
      <c r="E5" s="129" t="s">
        <v>914</v>
      </c>
      <c r="F5" s="129" t="s">
        <v>906</v>
      </c>
      <c r="G5" s="129" t="s">
        <v>917</v>
      </c>
      <c r="H5" s="129" t="s">
        <v>918</v>
      </c>
      <c r="I5" s="126" t="s">
        <v>919</v>
      </c>
      <c r="J5" s="129" t="s">
        <v>910</v>
      </c>
      <c r="K5" s="124"/>
      <c r="L5" s="124" t="str">
        <f t="array" ref="L5">IFERROR(INDEX('Gerenciamento IH'!B:B,MATCH(A5,'Gerenciamento IH'!B:B,0)), "Não está")</f>
        <v>4175606823</v>
      </c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</row>
    <row r="6">
      <c r="A6" s="126" t="s">
        <v>244</v>
      </c>
      <c r="B6" s="127"/>
      <c r="C6" s="127"/>
      <c r="D6" s="128"/>
      <c r="E6" s="129" t="s">
        <v>920</v>
      </c>
      <c r="F6" s="129" t="s">
        <v>906</v>
      </c>
      <c r="G6" s="129" t="s">
        <v>921</v>
      </c>
      <c r="H6" s="129" t="s">
        <v>922</v>
      </c>
      <c r="I6" s="126" t="s">
        <v>923</v>
      </c>
      <c r="J6" s="129" t="s">
        <v>910</v>
      </c>
      <c r="K6" s="124"/>
      <c r="L6" s="124" t="str">
        <f t="array" ref="L6">IFERROR(INDEX('Gerenciamento IH'!B:B,MATCH(A6,'Gerenciamento IH'!B:B,0)), "Não está")</f>
        <v>4175614694</v>
      </c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</row>
    <row r="7">
      <c r="A7" s="126" t="s">
        <v>245</v>
      </c>
      <c r="B7" s="127"/>
      <c r="C7" s="127"/>
      <c r="D7" s="128"/>
      <c r="E7" s="129" t="s">
        <v>920</v>
      </c>
      <c r="F7" s="129" t="s">
        <v>906</v>
      </c>
      <c r="G7" s="129" t="s">
        <v>924</v>
      </c>
      <c r="H7" s="129" t="s">
        <v>925</v>
      </c>
      <c r="I7" s="126" t="s">
        <v>926</v>
      </c>
      <c r="J7" s="129" t="s">
        <v>910</v>
      </c>
      <c r="K7" s="124"/>
      <c r="L7" s="124" t="str">
        <f t="array" ref="L7">IFERROR(INDEX('Gerenciamento IH'!B:B,MATCH(A7,'Gerenciamento IH'!B:B,0)), "Não está")</f>
        <v>4175614734</v>
      </c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>
      <c r="A8" s="126" t="s">
        <v>246</v>
      </c>
      <c r="B8" s="127"/>
      <c r="C8" s="127"/>
      <c r="D8" s="128"/>
      <c r="E8" s="129" t="s">
        <v>920</v>
      </c>
      <c r="F8" s="129" t="s">
        <v>906</v>
      </c>
      <c r="G8" s="129" t="s">
        <v>927</v>
      </c>
      <c r="H8" s="129" t="s">
        <v>928</v>
      </c>
      <c r="I8" s="126" t="s">
        <v>929</v>
      </c>
      <c r="J8" s="129" t="s">
        <v>910</v>
      </c>
      <c r="K8" s="124"/>
      <c r="L8" s="124" t="str">
        <f t="array" ref="L8">IFERROR(INDEX('Gerenciamento IH'!B:B,MATCH(A8,'Gerenciamento IH'!B:B,0)), "Não está")</f>
        <v>4175614829</v>
      </c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</row>
    <row r="9">
      <c r="A9" s="126" t="s">
        <v>247</v>
      </c>
      <c r="B9" s="127"/>
      <c r="C9" s="127"/>
      <c r="D9" s="128"/>
      <c r="E9" s="129" t="s">
        <v>920</v>
      </c>
      <c r="F9" s="129" t="s">
        <v>906</v>
      </c>
      <c r="G9" s="129" t="s">
        <v>930</v>
      </c>
      <c r="H9" s="129" t="s">
        <v>931</v>
      </c>
      <c r="I9" s="126" t="s">
        <v>932</v>
      </c>
      <c r="J9" s="129" t="s">
        <v>910</v>
      </c>
      <c r="K9" s="124"/>
      <c r="L9" s="124" t="str">
        <f t="array" ref="L9">IFERROR(INDEX('Gerenciamento IH'!B:B,MATCH(A9,'Gerenciamento IH'!B:B,0)), "Não está")</f>
        <v>4175615092</v>
      </c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</row>
    <row r="10" hidden="1">
      <c r="A10" s="126" t="s">
        <v>211</v>
      </c>
      <c r="B10" s="127"/>
      <c r="C10" s="127"/>
      <c r="D10" s="129">
        <v>4.175468447E9</v>
      </c>
      <c r="E10" s="129" t="s">
        <v>933</v>
      </c>
      <c r="F10" s="129" t="s">
        <v>906</v>
      </c>
      <c r="G10" s="129" t="s">
        <v>934</v>
      </c>
      <c r="H10" s="129" t="s">
        <v>935</v>
      </c>
      <c r="I10" s="126" t="s">
        <v>936</v>
      </c>
      <c r="J10" s="130">
        <v>46026.0</v>
      </c>
      <c r="K10" s="124"/>
      <c r="L10" s="124" t="str">
        <f t="array" ref="L10">IFERROR(INDEX('Gerenciamento IH'!B:B,MATCH(A10,'Gerenciamento IH'!B:B,0)), "Não está")</f>
        <v>4175468447</v>
      </c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</row>
    <row r="11" hidden="1">
      <c r="A11" s="126" t="s">
        <v>28</v>
      </c>
      <c r="B11" s="127"/>
      <c r="C11" s="127"/>
      <c r="D11" s="129">
        <v>4.174601418E9</v>
      </c>
      <c r="E11" s="130">
        <v>45669.0</v>
      </c>
      <c r="F11" s="129" t="s">
        <v>906</v>
      </c>
      <c r="G11" s="129" t="s">
        <v>937</v>
      </c>
      <c r="H11" s="129" t="s">
        <v>938</v>
      </c>
      <c r="I11" s="126" t="s">
        <v>939</v>
      </c>
      <c r="J11" s="130">
        <v>46269.0</v>
      </c>
      <c r="K11" s="124"/>
      <c r="L11" s="124" t="str">
        <f t="array" ref="L11">IFERROR(INDEX('Gerenciamento IH'!B:B,MATCH(A11,'Gerenciamento IH'!B:B,0)), "Não está")</f>
        <v>4174601418</v>
      </c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</row>
    <row r="12" hidden="1">
      <c r="A12" s="126" t="s">
        <v>34</v>
      </c>
      <c r="B12" s="127"/>
      <c r="C12" s="127"/>
      <c r="D12" s="129">
        <v>4.174748994E9</v>
      </c>
      <c r="E12" s="129" t="s">
        <v>940</v>
      </c>
      <c r="F12" s="129" t="s">
        <v>906</v>
      </c>
      <c r="G12" s="129" t="s">
        <v>941</v>
      </c>
      <c r="H12" s="129" t="s">
        <v>942</v>
      </c>
      <c r="I12" s="126" t="s">
        <v>943</v>
      </c>
      <c r="J12" s="130">
        <v>46026.0</v>
      </c>
      <c r="K12" s="124"/>
      <c r="L12" s="124" t="str">
        <f t="array" ref="L12">IFERROR(INDEX('Gerenciamento IH'!B:B,MATCH(A12,'Gerenciamento IH'!B:B,0)), "Não está")</f>
        <v>4174748994</v>
      </c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</row>
    <row r="13" hidden="1">
      <c r="A13" s="126" t="s">
        <v>48</v>
      </c>
      <c r="B13" s="127"/>
      <c r="C13" s="127"/>
      <c r="D13" s="129">
        <v>4.17492564E9</v>
      </c>
      <c r="E13" s="129" t="s">
        <v>944</v>
      </c>
      <c r="F13" s="129" t="s">
        <v>906</v>
      </c>
      <c r="G13" s="129" t="s">
        <v>934</v>
      </c>
      <c r="H13" s="129" t="s">
        <v>945</v>
      </c>
      <c r="I13" s="126" t="s">
        <v>946</v>
      </c>
      <c r="J13" s="130">
        <v>46269.0</v>
      </c>
      <c r="K13" s="124"/>
      <c r="L13" s="124" t="str">
        <f t="array" ref="L13">IFERROR(INDEX('Gerenciamento IH'!B:B,MATCH(A13,'Gerenciamento IH'!B:B,0)), "Não está")</f>
        <v>4174925640</v>
      </c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</row>
    <row r="14" hidden="1">
      <c r="A14" s="126" t="s">
        <v>65</v>
      </c>
      <c r="B14" s="127"/>
      <c r="C14" s="127"/>
      <c r="D14" s="129">
        <v>4.175055482E9</v>
      </c>
      <c r="E14" s="129" t="s">
        <v>947</v>
      </c>
      <c r="F14" s="129" t="s">
        <v>906</v>
      </c>
      <c r="G14" s="129" t="s">
        <v>937</v>
      </c>
      <c r="H14" s="129" t="s">
        <v>948</v>
      </c>
      <c r="I14" s="126" t="s">
        <v>949</v>
      </c>
      <c r="J14" s="129" t="s">
        <v>950</v>
      </c>
      <c r="K14" s="124"/>
      <c r="L14" s="124" t="str">
        <f t="array" ref="L14">IFERROR(INDEX('Gerenciamento IH'!B:B,MATCH(A14,'Gerenciamento IH'!B:B,0)), "Não está")</f>
        <v>4175055482</v>
      </c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</row>
    <row r="15" hidden="1">
      <c r="A15" s="126" t="s">
        <v>69</v>
      </c>
      <c r="B15" s="127"/>
      <c r="C15" s="127"/>
      <c r="D15" s="129">
        <v>4.175055496E9</v>
      </c>
      <c r="E15" s="129" t="s">
        <v>947</v>
      </c>
      <c r="F15" s="129" t="s">
        <v>906</v>
      </c>
      <c r="G15" s="129" t="s">
        <v>951</v>
      </c>
      <c r="H15" s="129" t="s">
        <v>952</v>
      </c>
      <c r="I15" s="126" t="s">
        <v>953</v>
      </c>
      <c r="J15" s="129" t="s">
        <v>950</v>
      </c>
      <c r="K15" s="124"/>
      <c r="L15" s="124" t="str">
        <f t="array" ref="L15">IFERROR(INDEX('Gerenciamento IH'!B:B,MATCH(A15,'Gerenciamento IH'!B:B,0)), "Não está")</f>
        <v>4175055496</v>
      </c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</row>
    <row r="16" hidden="1">
      <c r="A16" s="126" t="s">
        <v>70</v>
      </c>
      <c r="B16" s="127"/>
      <c r="C16" s="127"/>
      <c r="D16" s="129">
        <v>4.175068842E9</v>
      </c>
      <c r="E16" s="130">
        <v>46055.0</v>
      </c>
      <c r="F16" s="129" t="s">
        <v>906</v>
      </c>
      <c r="G16" s="129" t="s">
        <v>954</v>
      </c>
      <c r="H16" s="129" t="s">
        <v>955</v>
      </c>
      <c r="I16" s="126" t="s">
        <v>956</v>
      </c>
      <c r="J16" s="130">
        <v>46026.0</v>
      </c>
      <c r="K16" s="124"/>
      <c r="L16" s="124" t="str">
        <f t="array" ref="L16">IFERROR(INDEX('Gerenciamento IH'!B:B,MATCH(A16,'Gerenciamento IH'!B:B,0)), "Não está")</f>
        <v>4175068842</v>
      </c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</row>
    <row r="17" hidden="1">
      <c r="A17" s="126" t="s">
        <v>74</v>
      </c>
      <c r="B17" s="127"/>
      <c r="C17" s="127"/>
      <c r="D17" s="129">
        <v>4.175087864E9</v>
      </c>
      <c r="E17" s="130">
        <v>46114.0</v>
      </c>
      <c r="F17" s="129" t="s">
        <v>906</v>
      </c>
      <c r="G17" s="129" t="s">
        <v>957</v>
      </c>
      <c r="H17" s="129" t="s">
        <v>958</v>
      </c>
      <c r="I17" s="126" t="s">
        <v>959</v>
      </c>
      <c r="J17" s="129" t="s">
        <v>950</v>
      </c>
      <c r="K17" s="124"/>
      <c r="L17" s="124" t="str">
        <f t="array" ref="L17">IFERROR(INDEX('Gerenciamento IH'!B:B,MATCH(A17,'Gerenciamento IH'!B:B,0)), "Não está")</f>
        <v>4175087864</v>
      </c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</row>
    <row r="18" hidden="1">
      <c r="A18" s="126" t="s">
        <v>121</v>
      </c>
      <c r="B18" s="127"/>
      <c r="C18" s="127"/>
      <c r="D18" s="129">
        <v>4.175133973E9</v>
      </c>
      <c r="E18" s="130">
        <v>46297.0</v>
      </c>
      <c r="F18" s="129" t="s">
        <v>906</v>
      </c>
      <c r="G18" s="129" t="s">
        <v>960</v>
      </c>
      <c r="H18" s="129" t="s">
        <v>961</v>
      </c>
      <c r="I18" s="126" t="s">
        <v>962</v>
      </c>
      <c r="J18" s="129" t="s">
        <v>963</v>
      </c>
      <c r="K18" s="124"/>
      <c r="L18" s="124" t="str">
        <f t="array" ref="L18">IFERROR(INDEX('Gerenciamento IH'!B:B,MATCH(A18,'Gerenciamento IH'!B:B,0)), "Não está")</f>
        <v>4175133973</v>
      </c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</row>
    <row r="19" hidden="1">
      <c r="A19" s="126" t="s">
        <v>120</v>
      </c>
      <c r="B19" s="127"/>
      <c r="C19" s="127"/>
      <c r="D19" s="129">
        <v>4.175136738E9</v>
      </c>
      <c r="E19" s="130">
        <v>46297.0</v>
      </c>
      <c r="F19" s="129" t="s">
        <v>906</v>
      </c>
      <c r="G19" s="129" t="s">
        <v>964</v>
      </c>
      <c r="H19" s="129" t="s">
        <v>908</v>
      </c>
      <c r="I19" s="126" t="s">
        <v>965</v>
      </c>
      <c r="J19" s="129" t="s">
        <v>966</v>
      </c>
      <c r="K19" s="124"/>
      <c r="L19" s="124" t="str">
        <f t="array" ref="L19">IFERROR(INDEX('Gerenciamento IH'!B:B,MATCH(A19,'Gerenciamento IH'!B:B,0)), "Não está")</f>
        <v>4175136738</v>
      </c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</row>
    <row r="20" hidden="1">
      <c r="A20" s="126" t="s">
        <v>123</v>
      </c>
      <c r="B20" s="127"/>
      <c r="C20" s="127"/>
      <c r="D20" s="129">
        <v>4.175138155E9</v>
      </c>
      <c r="E20" s="130">
        <v>46297.0</v>
      </c>
      <c r="F20" s="129" t="s">
        <v>906</v>
      </c>
      <c r="G20" s="129" t="s">
        <v>967</v>
      </c>
      <c r="H20" s="129" t="s">
        <v>968</v>
      </c>
      <c r="I20" s="126" t="s">
        <v>969</v>
      </c>
      <c r="J20" s="129" t="s">
        <v>950</v>
      </c>
      <c r="K20" s="124"/>
      <c r="L20" s="124" t="str">
        <f t="array" ref="L20">IFERROR(INDEX('Gerenciamento IH'!B:B,MATCH(A20,'Gerenciamento IH'!B:B,0)), "Não está")</f>
        <v>4175138155</v>
      </c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</row>
    <row r="21" hidden="1">
      <c r="A21" s="126" t="s">
        <v>85</v>
      </c>
      <c r="B21" s="127"/>
      <c r="C21" s="127"/>
      <c r="D21" s="129">
        <v>4.175145496E9</v>
      </c>
      <c r="E21" s="130">
        <v>46328.0</v>
      </c>
      <c r="F21" s="129" t="s">
        <v>906</v>
      </c>
      <c r="G21" s="129" t="s">
        <v>970</v>
      </c>
      <c r="H21" s="129" t="s">
        <v>971</v>
      </c>
      <c r="I21" s="126" t="s">
        <v>972</v>
      </c>
      <c r="J21" s="129" t="s">
        <v>973</v>
      </c>
      <c r="K21" s="124"/>
      <c r="L21" s="124" t="str">
        <f t="array" ref="L21">IFERROR(INDEX('Gerenciamento IH'!B:B,MATCH(A21,'Gerenciamento IH'!B:B,0)), "Não está")</f>
        <v>4175145496</v>
      </c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</row>
    <row r="22" hidden="1">
      <c r="A22" s="126" t="s">
        <v>200</v>
      </c>
      <c r="B22" s="127"/>
      <c r="C22" s="127"/>
      <c r="D22" s="129">
        <v>4.175147929E9</v>
      </c>
      <c r="E22" s="130">
        <v>46328.0</v>
      </c>
      <c r="F22" s="129" t="s">
        <v>906</v>
      </c>
      <c r="G22" s="129" t="s">
        <v>915</v>
      </c>
      <c r="H22" s="129" t="s">
        <v>908</v>
      </c>
      <c r="I22" s="126" t="s">
        <v>974</v>
      </c>
      <c r="J22" s="129" t="s">
        <v>975</v>
      </c>
      <c r="K22" s="124"/>
      <c r="L22" s="124" t="str">
        <f t="array" ref="L22">IFERROR(INDEX('Gerenciamento IH'!B:B,MATCH(A22,'Gerenciamento IH'!B:B,0)), "Não está")</f>
        <v>4175147929</v>
      </c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</row>
    <row r="23" hidden="1">
      <c r="A23" s="126" t="s">
        <v>87</v>
      </c>
      <c r="B23" s="127"/>
      <c r="C23" s="127"/>
      <c r="D23" s="129">
        <v>4.175154735E9</v>
      </c>
      <c r="E23" s="130">
        <v>46358.0</v>
      </c>
      <c r="F23" s="129" t="s">
        <v>906</v>
      </c>
      <c r="G23" s="129" t="s">
        <v>976</v>
      </c>
      <c r="H23" s="129" t="s">
        <v>977</v>
      </c>
      <c r="I23" s="126" t="s">
        <v>978</v>
      </c>
      <c r="J23" s="129" t="s">
        <v>914</v>
      </c>
      <c r="K23" s="124"/>
      <c r="L23" s="124" t="str">
        <f t="array" ref="L23">IFERROR(INDEX('Gerenciamento IH'!B:B,MATCH(A23,'Gerenciamento IH'!B:B,0)), "Não está")</f>
        <v>4175154735</v>
      </c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</row>
    <row r="24" hidden="1">
      <c r="A24" s="126" t="s">
        <v>88</v>
      </c>
      <c r="B24" s="127"/>
      <c r="C24" s="127"/>
      <c r="D24" s="129">
        <v>4.175154947E9</v>
      </c>
      <c r="E24" s="130">
        <v>46358.0</v>
      </c>
      <c r="F24" s="129" t="s">
        <v>906</v>
      </c>
      <c r="G24" s="129" t="s">
        <v>979</v>
      </c>
      <c r="H24" s="129" t="s">
        <v>980</v>
      </c>
      <c r="I24" s="126" t="s">
        <v>981</v>
      </c>
      <c r="J24" s="129" t="s">
        <v>950</v>
      </c>
      <c r="K24" s="124"/>
      <c r="L24" s="124" t="str">
        <f t="array" ref="L24">IFERROR(INDEX('Gerenciamento IH'!B:B,MATCH(A24,'Gerenciamento IH'!B:B,0)), "Não está")</f>
        <v>4175154947</v>
      </c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</row>
    <row r="25" hidden="1">
      <c r="A25" s="126" t="s">
        <v>135</v>
      </c>
      <c r="B25" s="127"/>
      <c r="C25" s="127"/>
      <c r="D25" s="129">
        <v>4.175156356E9</v>
      </c>
      <c r="E25" s="130">
        <v>46358.0</v>
      </c>
      <c r="F25" s="129" t="s">
        <v>906</v>
      </c>
      <c r="G25" s="129" t="s">
        <v>982</v>
      </c>
      <c r="H25" s="129" t="s">
        <v>908</v>
      </c>
      <c r="I25" s="126" t="s">
        <v>983</v>
      </c>
      <c r="J25" s="129" t="s">
        <v>984</v>
      </c>
      <c r="K25" s="124"/>
      <c r="L25" s="124" t="str">
        <f t="array" ref="L25">IFERROR(INDEX('Gerenciamento IH'!B:B,MATCH(A25,'Gerenciamento IH'!B:B,0)), "Não está")</f>
        <v>4175156356</v>
      </c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</row>
    <row r="26" hidden="1">
      <c r="A26" s="126" t="s">
        <v>90</v>
      </c>
      <c r="B26" s="127"/>
      <c r="C26" s="127"/>
      <c r="D26" s="129">
        <v>4.175157549E9</v>
      </c>
      <c r="E26" s="130">
        <v>46358.0</v>
      </c>
      <c r="F26" s="129" t="s">
        <v>906</v>
      </c>
      <c r="G26" s="129" t="s">
        <v>937</v>
      </c>
      <c r="H26" s="129" t="s">
        <v>985</v>
      </c>
      <c r="I26" s="126" t="s">
        <v>986</v>
      </c>
      <c r="J26" s="129" t="s">
        <v>973</v>
      </c>
      <c r="K26" s="124"/>
      <c r="L26" s="124" t="str">
        <f t="array" ref="L26">IFERROR(INDEX('Gerenciamento IH'!B:B,MATCH(A26,'Gerenciamento IH'!B:B,0)), "Não está")</f>
        <v>4175157549</v>
      </c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hidden="1">
      <c r="A27" s="126" t="s">
        <v>142</v>
      </c>
      <c r="B27" s="127"/>
      <c r="C27" s="127"/>
      <c r="D27" s="129">
        <v>4.175166403E9</v>
      </c>
      <c r="E27" s="129" t="s">
        <v>987</v>
      </c>
      <c r="F27" s="129" t="s">
        <v>906</v>
      </c>
      <c r="G27" s="129" t="s">
        <v>982</v>
      </c>
      <c r="H27" s="129" t="s">
        <v>908</v>
      </c>
      <c r="I27" s="126" t="s">
        <v>988</v>
      </c>
      <c r="J27" s="129" t="s">
        <v>963</v>
      </c>
      <c r="K27" s="124"/>
      <c r="L27" s="124" t="str">
        <f t="array" ref="L27">IFERROR(INDEX('Gerenciamento IH'!B:B,MATCH(A27,'Gerenciamento IH'!B:B,0)), "Não está")</f>
        <v>4175166403</v>
      </c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</row>
    <row r="28" hidden="1">
      <c r="A28" s="126" t="s">
        <v>94</v>
      </c>
      <c r="B28" s="127"/>
      <c r="C28" s="127"/>
      <c r="D28" s="129">
        <v>4.175199815E9</v>
      </c>
      <c r="E28" s="129" t="s">
        <v>989</v>
      </c>
      <c r="F28" s="129" t="s">
        <v>906</v>
      </c>
      <c r="G28" s="129" t="s">
        <v>982</v>
      </c>
      <c r="H28" s="129" t="s">
        <v>990</v>
      </c>
      <c r="I28" s="126" t="s">
        <v>991</v>
      </c>
      <c r="J28" s="129" t="s">
        <v>950</v>
      </c>
      <c r="K28" s="124"/>
      <c r="L28" s="124" t="str">
        <f t="array" ref="L28">IFERROR(INDEX('Gerenciamento IH'!B:B,MATCH(A28,'Gerenciamento IH'!B:B,0)), "Não está")</f>
        <v>4175199815</v>
      </c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</row>
    <row r="29" hidden="1">
      <c r="A29" s="126" t="s">
        <v>97</v>
      </c>
      <c r="B29" s="127"/>
      <c r="C29" s="127"/>
      <c r="D29" s="129">
        <v>4.175209715E9</v>
      </c>
      <c r="E29" s="129" t="s">
        <v>992</v>
      </c>
      <c r="F29" s="129" t="s">
        <v>906</v>
      </c>
      <c r="G29" s="129" t="s">
        <v>993</v>
      </c>
      <c r="H29" s="129" t="s">
        <v>908</v>
      </c>
      <c r="I29" s="126" t="s">
        <v>994</v>
      </c>
      <c r="J29" s="130">
        <v>46269.0</v>
      </c>
      <c r="K29" s="124"/>
      <c r="L29" s="124" t="str">
        <f t="array" ref="L29">IFERROR(INDEX('Gerenciamento IH'!B:B,MATCH(A29,'Gerenciamento IH'!B:B,0)), "Não está")</f>
        <v>4175209715</v>
      </c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</row>
    <row r="30" hidden="1">
      <c r="A30" s="126" t="s">
        <v>31</v>
      </c>
      <c r="B30" s="127"/>
      <c r="C30" s="127"/>
      <c r="D30" s="129">
        <v>4.175256827E9</v>
      </c>
      <c r="E30" s="129" t="s">
        <v>995</v>
      </c>
      <c r="F30" s="129" t="s">
        <v>906</v>
      </c>
      <c r="G30" s="129" t="s">
        <v>996</v>
      </c>
      <c r="H30" s="129" t="s">
        <v>997</v>
      </c>
      <c r="I30" s="126" t="s">
        <v>447</v>
      </c>
      <c r="J30" s="129" t="s">
        <v>998</v>
      </c>
      <c r="K30" s="124"/>
      <c r="L30" s="124" t="str">
        <f t="array" ref="L30">IFERROR(INDEX('Gerenciamento IH'!B:B,MATCH(A30,'Gerenciamento IH'!B:B,0)), "Não está")</f>
        <v>4175256827</v>
      </c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</row>
    <row r="31" hidden="1">
      <c r="A31" s="126" t="s">
        <v>108</v>
      </c>
      <c r="B31" s="127"/>
      <c r="C31" s="127"/>
      <c r="D31" s="129">
        <v>4.175285222E9</v>
      </c>
      <c r="E31" s="130">
        <v>46084.0</v>
      </c>
      <c r="F31" s="129" t="s">
        <v>906</v>
      </c>
      <c r="G31" s="129" t="s">
        <v>976</v>
      </c>
      <c r="H31" s="129" t="s">
        <v>999</v>
      </c>
      <c r="I31" s="126" t="s">
        <v>1000</v>
      </c>
      <c r="J31" s="129" t="s">
        <v>950</v>
      </c>
      <c r="K31" s="124"/>
      <c r="L31" s="124" t="str">
        <f t="array" ref="L31">IFERROR(INDEX('Gerenciamento IH'!B:B,MATCH(A31,'Gerenciamento IH'!B:B,0)), "Não está")</f>
        <v>4175285222</v>
      </c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</row>
    <row r="32" hidden="1">
      <c r="A32" s="126" t="s">
        <v>109</v>
      </c>
      <c r="B32" s="127"/>
      <c r="C32" s="127"/>
      <c r="D32" s="129">
        <v>4.175285321E9</v>
      </c>
      <c r="E32" s="130">
        <v>46084.0</v>
      </c>
      <c r="F32" s="129" t="s">
        <v>906</v>
      </c>
      <c r="G32" s="129" t="s">
        <v>1001</v>
      </c>
      <c r="H32" s="129" t="s">
        <v>1002</v>
      </c>
      <c r="I32" s="126" t="s">
        <v>1003</v>
      </c>
      <c r="J32" s="129" t="s">
        <v>950</v>
      </c>
      <c r="K32" s="124"/>
      <c r="L32" s="124" t="str">
        <f t="array" ref="L32">IFERROR(INDEX('Gerenciamento IH'!B:B,MATCH(A32,'Gerenciamento IH'!B:B,0)), "Não está")</f>
        <v>4175285321</v>
      </c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</row>
    <row r="33" hidden="1">
      <c r="A33" s="126" t="s">
        <v>111</v>
      </c>
      <c r="B33" s="127"/>
      <c r="C33" s="127"/>
      <c r="D33" s="129">
        <v>4.175285535E9</v>
      </c>
      <c r="E33" s="130">
        <v>46084.0</v>
      </c>
      <c r="F33" s="129" t="s">
        <v>906</v>
      </c>
      <c r="G33" s="129" t="s">
        <v>970</v>
      </c>
      <c r="H33" s="129" t="s">
        <v>1004</v>
      </c>
      <c r="I33" s="126" t="s">
        <v>1005</v>
      </c>
      <c r="J33" s="129" t="s">
        <v>950</v>
      </c>
      <c r="K33" s="124"/>
      <c r="L33" s="124" t="str">
        <f t="array" ref="L33">IFERROR(INDEX('Gerenciamento IH'!B:B,MATCH(A33,'Gerenciamento IH'!B:B,0)), "Não está")</f>
        <v>4175285535</v>
      </c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</row>
    <row r="34" hidden="1">
      <c r="A34" s="126" t="s">
        <v>112</v>
      </c>
      <c r="B34" s="127"/>
      <c r="C34" s="127"/>
      <c r="D34" s="129">
        <v>4.175285585E9</v>
      </c>
      <c r="E34" s="130">
        <v>46084.0</v>
      </c>
      <c r="F34" s="129" t="s">
        <v>906</v>
      </c>
      <c r="G34" s="129" t="s">
        <v>1006</v>
      </c>
      <c r="H34" s="129" t="s">
        <v>1007</v>
      </c>
      <c r="I34" s="126" t="s">
        <v>1008</v>
      </c>
      <c r="J34" s="130">
        <v>46298.0</v>
      </c>
      <c r="K34" s="124"/>
      <c r="L34" s="124" t="str">
        <f t="array" ref="L34">IFERROR(INDEX('Gerenciamento IH'!B:B,MATCH(A34,'Gerenciamento IH'!B:B,0)), "Não está")</f>
        <v>4175285585</v>
      </c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</row>
    <row r="35" hidden="1">
      <c r="A35" s="126" t="s">
        <v>113</v>
      </c>
      <c r="B35" s="127"/>
      <c r="C35" s="127"/>
      <c r="D35" s="129">
        <v>4.17528564E9</v>
      </c>
      <c r="E35" s="130">
        <v>46084.0</v>
      </c>
      <c r="F35" s="129" t="s">
        <v>906</v>
      </c>
      <c r="G35" s="129" t="s">
        <v>937</v>
      </c>
      <c r="H35" s="129" t="s">
        <v>1009</v>
      </c>
      <c r="I35" s="126" t="s">
        <v>1010</v>
      </c>
      <c r="J35" s="129" t="s">
        <v>920</v>
      </c>
      <c r="K35" s="124"/>
      <c r="L35" s="124" t="str">
        <f t="array" ref="L35">IFERROR(INDEX('Gerenciamento IH'!B:B,MATCH(A35,'Gerenciamento IH'!B:B,0)), "Não está")</f>
        <v>4175285640</v>
      </c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</row>
    <row r="36" hidden="1">
      <c r="A36" s="126" t="s">
        <v>117</v>
      </c>
      <c r="B36" s="127"/>
      <c r="C36" s="127"/>
      <c r="D36" s="129">
        <v>4.175286114E9</v>
      </c>
      <c r="E36" s="130">
        <v>46084.0</v>
      </c>
      <c r="F36" s="129" t="s">
        <v>906</v>
      </c>
      <c r="G36" s="129" t="s">
        <v>1011</v>
      </c>
      <c r="H36" s="129" t="s">
        <v>1012</v>
      </c>
      <c r="I36" s="126" t="s">
        <v>1013</v>
      </c>
      <c r="J36" s="129" t="s">
        <v>950</v>
      </c>
      <c r="K36" s="124"/>
      <c r="L36" s="124" t="str">
        <f t="array" ref="L36">IFERROR(INDEX('Gerenciamento IH'!B:B,MATCH(A36,'Gerenciamento IH'!B:B,0)), "Não está")</f>
        <v>4175286114</v>
      </c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</row>
    <row r="37" hidden="1">
      <c r="A37" s="126" t="s">
        <v>149</v>
      </c>
      <c r="B37" s="127"/>
      <c r="C37" s="127"/>
      <c r="D37" s="129">
        <v>4.175295259E9</v>
      </c>
      <c r="E37" s="130">
        <v>46115.0</v>
      </c>
      <c r="F37" s="129" t="s">
        <v>906</v>
      </c>
      <c r="G37" s="129" t="s">
        <v>954</v>
      </c>
      <c r="H37" s="129" t="s">
        <v>1014</v>
      </c>
      <c r="I37" s="126" t="s">
        <v>1015</v>
      </c>
      <c r="J37" s="129" t="s">
        <v>950</v>
      </c>
      <c r="K37" s="124"/>
      <c r="L37" s="124" t="str">
        <f t="array" ref="L37">IFERROR(INDEX('Gerenciamento IH'!B:B,MATCH(A37,'Gerenciamento IH'!B:B,0)), "Não está")</f>
        <v>4175295259</v>
      </c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</row>
    <row r="38" hidden="1">
      <c r="A38" s="126" t="s">
        <v>150</v>
      </c>
      <c r="B38" s="127"/>
      <c r="C38" s="127"/>
      <c r="D38" s="129">
        <v>4.175295815E9</v>
      </c>
      <c r="E38" s="130">
        <v>46115.0</v>
      </c>
      <c r="F38" s="129" t="s">
        <v>906</v>
      </c>
      <c r="G38" s="129" t="s">
        <v>954</v>
      </c>
      <c r="H38" s="129" t="s">
        <v>1016</v>
      </c>
      <c r="I38" s="126" t="s">
        <v>1015</v>
      </c>
      <c r="J38" s="129" t="s">
        <v>950</v>
      </c>
      <c r="K38" s="124"/>
      <c r="L38" s="124" t="str">
        <f t="array" ref="L38">IFERROR(INDEX('Gerenciamento IH'!B:B,MATCH(A38,'Gerenciamento IH'!B:B,0)), "Não está")</f>
        <v>4175295815</v>
      </c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</row>
    <row r="39" hidden="1">
      <c r="A39" s="126" t="s">
        <v>151</v>
      </c>
      <c r="B39" s="127"/>
      <c r="C39" s="127"/>
      <c r="D39" s="129">
        <v>4.175296585E9</v>
      </c>
      <c r="E39" s="130">
        <v>46115.0</v>
      </c>
      <c r="F39" s="129" t="s">
        <v>906</v>
      </c>
      <c r="G39" s="129" t="s">
        <v>1017</v>
      </c>
      <c r="H39" s="129" t="s">
        <v>1018</v>
      </c>
      <c r="I39" s="126" t="s">
        <v>1019</v>
      </c>
      <c r="J39" s="129" t="s">
        <v>950</v>
      </c>
      <c r="K39" s="124"/>
      <c r="L39" s="124" t="str">
        <f t="array" ref="L39">IFERROR(INDEX('Gerenciamento IH'!B:B,MATCH(A39,'Gerenciamento IH'!B:B,0)), "Não está")</f>
        <v>4175296585</v>
      </c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</row>
    <row r="40" hidden="1">
      <c r="A40" s="126" t="s">
        <v>152</v>
      </c>
      <c r="B40" s="127"/>
      <c r="C40" s="127"/>
      <c r="D40" s="129">
        <v>4.175303528E9</v>
      </c>
      <c r="E40" s="130">
        <v>46145.0</v>
      </c>
      <c r="F40" s="129" t="s">
        <v>906</v>
      </c>
      <c r="G40" s="129" t="s">
        <v>954</v>
      </c>
      <c r="H40" s="129" t="s">
        <v>908</v>
      </c>
      <c r="I40" s="126" t="s">
        <v>1020</v>
      </c>
      <c r="J40" s="129" t="s">
        <v>920</v>
      </c>
      <c r="K40" s="124"/>
      <c r="L40" s="124" t="str">
        <f t="array" ref="L40">IFERROR(INDEX('Gerenciamento IH'!B:B,MATCH(A40,'Gerenciamento IH'!B:B,0)), "Não está")</f>
        <v>4175303528</v>
      </c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</row>
    <row r="41" hidden="1">
      <c r="A41" s="126" t="s">
        <v>154</v>
      </c>
      <c r="B41" s="127"/>
      <c r="C41" s="127"/>
      <c r="D41" s="129">
        <v>4.175303631E9</v>
      </c>
      <c r="E41" s="130">
        <v>46145.0</v>
      </c>
      <c r="F41" s="129" t="s">
        <v>906</v>
      </c>
      <c r="G41" s="129" t="s">
        <v>976</v>
      </c>
      <c r="H41" s="129" t="s">
        <v>908</v>
      </c>
      <c r="I41" s="126" t="s">
        <v>1021</v>
      </c>
      <c r="J41" s="129" t="s">
        <v>950</v>
      </c>
      <c r="K41" s="124"/>
      <c r="L41" s="124" t="str">
        <f t="array" ref="L41">IFERROR(INDEX('Gerenciamento IH'!B:B,MATCH(A41,'Gerenciamento IH'!B:B,0)), "Não está")</f>
        <v>4175303631</v>
      </c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</row>
    <row r="42" hidden="1">
      <c r="A42" s="126" t="s">
        <v>155</v>
      </c>
      <c r="B42" s="127"/>
      <c r="C42" s="127"/>
      <c r="D42" s="129">
        <v>4.175304244E9</v>
      </c>
      <c r="E42" s="130">
        <v>46145.0</v>
      </c>
      <c r="F42" s="129" t="s">
        <v>906</v>
      </c>
      <c r="G42" s="129" t="s">
        <v>1022</v>
      </c>
      <c r="H42" s="129" t="s">
        <v>908</v>
      </c>
      <c r="I42" s="126" t="s">
        <v>1023</v>
      </c>
      <c r="J42" s="129" t="s">
        <v>950</v>
      </c>
      <c r="K42" s="124"/>
      <c r="L42" s="124" t="str">
        <f t="array" ref="L42">IFERROR(INDEX('Gerenciamento IH'!B:B,MATCH(A42,'Gerenciamento IH'!B:B,0)), "Não está")</f>
        <v>4175304244</v>
      </c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</row>
    <row r="43" hidden="1">
      <c r="A43" s="126" t="s">
        <v>156</v>
      </c>
      <c r="B43" s="127"/>
      <c r="C43" s="127"/>
      <c r="D43" s="129">
        <v>4.175305399E9</v>
      </c>
      <c r="E43" s="130">
        <v>46145.0</v>
      </c>
      <c r="F43" s="129" t="s">
        <v>906</v>
      </c>
      <c r="G43" s="129" t="s">
        <v>970</v>
      </c>
      <c r="H43" s="129" t="s">
        <v>908</v>
      </c>
      <c r="I43" s="126" t="s">
        <v>1024</v>
      </c>
      <c r="J43" s="129" t="s">
        <v>950</v>
      </c>
      <c r="K43" s="124"/>
      <c r="L43" s="124" t="str">
        <f t="array" ref="L43">IFERROR(INDEX('Gerenciamento IH'!B:B,MATCH(A43,'Gerenciamento IH'!B:B,0)), "Não está")</f>
        <v>4175305399</v>
      </c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</row>
    <row r="44" hidden="1">
      <c r="A44" s="126" t="s">
        <v>157</v>
      </c>
      <c r="B44" s="127"/>
      <c r="C44" s="127"/>
      <c r="D44" s="129">
        <v>4.175306414E9</v>
      </c>
      <c r="E44" s="130">
        <v>46145.0</v>
      </c>
      <c r="F44" s="129" t="s">
        <v>906</v>
      </c>
      <c r="G44" s="129" t="s">
        <v>1025</v>
      </c>
      <c r="H44" s="129" t="s">
        <v>1026</v>
      </c>
      <c r="I44" s="126" t="s">
        <v>1027</v>
      </c>
      <c r="J44" s="130">
        <v>46207.0</v>
      </c>
      <c r="K44" s="124"/>
      <c r="L44" s="124" t="str">
        <f t="array" ref="L44">IFERROR(INDEX('Gerenciamento IH'!B:B,MATCH(A44,'Gerenciamento IH'!B:B,0)), "Não está")</f>
        <v>4175306414</v>
      </c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</row>
    <row r="45" hidden="1">
      <c r="A45" s="126" t="s">
        <v>158</v>
      </c>
      <c r="B45" s="127"/>
      <c r="C45" s="127"/>
      <c r="D45" s="129">
        <v>4.175306709E9</v>
      </c>
      <c r="E45" s="130">
        <v>46145.0</v>
      </c>
      <c r="F45" s="129" t="s">
        <v>906</v>
      </c>
      <c r="G45" s="129" t="s">
        <v>967</v>
      </c>
      <c r="H45" s="129" t="s">
        <v>1028</v>
      </c>
      <c r="I45" s="126" t="s">
        <v>1029</v>
      </c>
      <c r="J45" s="129" t="s">
        <v>950</v>
      </c>
      <c r="K45" s="124" t="s">
        <v>1030</v>
      </c>
      <c r="L45" s="124" t="str">
        <f t="array" ref="L45">IFERROR(INDEX('Gerenciamento IH'!B:B,MATCH(A45,'Gerenciamento IH'!B:B,0)), "Não está")</f>
        <v>4175306709</v>
      </c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</row>
    <row r="46" hidden="1">
      <c r="A46" s="126" t="s">
        <v>159</v>
      </c>
      <c r="B46" s="127"/>
      <c r="C46" s="127"/>
      <c r="D46" s="129">
        <v>4.175306797E9</v>
      </c>
      <c r="E46" s="130">
        <v>46145.0</v>
      </c>
      <c r="F46" s="129" t="s">
        <v>906</v>
      </c>
      <c r="G46" s="129" t="s">
        <v>982</v>
      </c>
      <c r="H46" s="129" t="s">
        <v>1031</v>
      </c>
      <c r="I46" s="126" t="s">
        <v>1032</v>
      </c>
      <c r="J46" s="129" t="s">
        <v>950</v>
      </c>
      <c r="K46" s="124"/>
      <c r="L46" s="124" t="str">
        <f t="array" ref="L46">IFERROR(INDEX('Gerenciamento IH'!B:B,MATCH(A46,'Gerenciamento IH'!B:B,0)), "Não está")</f>
        <v>4175306797</v>
      </c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</row>
    <row r="47" hidden="1">
      <c r="A47" s="126" t="s">
        <v>110</v>
      </c>
      <c r="B47" s="127"/>
      <c r="C47" s="127"/>
      <c r="D47" s="129">
        <v>4.175306888E9</v>
      </c>
      <c r="E47" s="130">
        <v>46145.0</v>
      </c>
      <c r="F47" s="129" t="s">
        <v>906</v>
      </c>
      <c r="G47" s="129" t="s">
        <v>1033</v>
      </c>
      <c r="H47" s="129" t="s">
        <v>1034</v>
      </c>
      <c r="I47" s="126" t="s">
        <v>1035</v>
      </c>
      <c r="J47" s="130">
        <v>46177.0</v>
      </c>
      <c r="K47" s="124"/>
      <c r="L47" s="124" t="str">
        <f t="array" ref="L47">IFERROR(INDEX('Gerenciamento IH'!B:B,MATCH(A47,'Gerenciamento IH'!B:B,0)), "Não está")</f>
        <v>4175306888</v>
      </c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</row>
    <row r="48" hidden="1">
      <c r="A48" s="126" t="s">
        <v>161</v>
      </c>
      <c r="B48" s="127"/>
      <c r="C48" s="127"/>
      <c r="D48" s="129">
        <v>4.175310816E9</v>
      </c>
      <c r="E48" s="130">
        <v>46176.0</v>
      </c>
      <c r="F48" s="129" t="s">
        <v>906</v>
      </c>
      <c r="G48" s="129" t="s">
        <v>951</v>
      </c>
      <c r="H48" s="129" t="s">
        <v>1036</v>
      </c>
      <c r="I48" s="126" t="s">
        <v>1037</v>
      </c>
      <c r="J48" s="129" t="s">
        <v>950</v>
      </c>
      <c r="K48" s="124"/>
      <c r="L48" s="124" t="str">
        <f t="array" ref="L48">IFERROR(INDEX('Gerenciamento IH'!B:B,MATCH(A48,'Gerenciamento IH'!B:B,0)), "Não está")</f>
        <v>4175310816</v>
      </c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</row>
    <row r="49" hidden="1">
      <c r="A49" s="126" t="s">
        <v>162</v>
      </c>
      <c r="B49" s="127"/>
      <c r="C49" s="127"/>
      <c r="D49" s="129">
        <v>4.175310924E9</v>
      </c>
      <c r="E49" s="130">
        <v>46176.0</v>
      </c>
      <c r="F49" s="129" t="s">
        <v>906</v>
      </c>
      <c r="G49" s="129" t="s">
        <v>937</v>
      </c>
      <c r="H49" s="129" t="s">
        <v>1038</v>
      </c>
      <c r="I49" s="126" t="s">
        <v>1039</v>
      </c>
      <c r="J49" s="129" t="s">
        <v>914</v>
      </c>
      <c r="K49" s="124"/>
      <c r="L49" s="124" t="str">
        <f t="array" ref="L49">IFERROR(INDEX('Gerenciamento IH'!B:B,MATCH(A49,'Gerenciamento IH'!B:B,0)), "Não está")</f>
        <v>4175310924</v>
      </c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</row>
    <row r="50" hidden="1">
      <c r="A50" s="126" t="s">
        <v>165</v>
      </c>
      <c r="B50" s="127"/>
      <c r="C50" s="127"/>
      <c r="D50" s="129">
        <v>4.17531432E9</v>
      </c>
      <c r="E50" s="130">
        <v>46176.0</v>
      </c>
      <c r="F50" s="129" t="s">
        <v>906</v>
      </c>
      <c r="G50" s="129" t="s">
        <v>967</v>
      </c>
      <c r="H50" s="129" t="s">
        <v>1040</v>
      </c>
      <c r="I50" s="126" t="s">
        <v>1041</v>
      </c>
      <c r="J50" s="130">
        <v>46269.0</v>
      </c>
      <c r="K50" s="124"/>
      <c r="L50" s="124" t="str">
        <f t="array" ref="L50">IFERROR(INDEX('Gerenciamento IH'!B:B,MATCH(A50,'Gerenciamento IH'!B:B,0)), "Não está")</f>
        <v>4175314320</v>
      </c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</row>
    <row r="51" hidden="1">
      <c r="A51" s="126" t="s">
        <v>166</v>
      </c>
      <c r="B51" s="127"/>
      <c r="C51" s="127"/>
      <c r="D51" s="129">
        <v>4.175315062E9</v>
      </c>
      <c r="E51" s="130">
        <v>46176.0</v>
      </c>
      <c r="F51" s="129" t="s">
        <v>906</v>
      </c>
      <c r="G51" s="129" t="s">
        <v>1042</v>
      </c>
      <c r="H51" s="129" t="s">
        <v>1043</v>
      </c>
      <c r="I51" s="126" t="s">
        <v>1044</v>
      </c>
      <c r="J51" s="129" t="s">
        <v>950</v>
      </c>
      <c r="K51" s="124"/>
      <c r="L51" s="124" t="str">
        <f t="array" ref="L51">IFERROR(INDEX('Gerenciamento IH'!B:B,MATCH(A51,'Gerenciamento IH'!B:B,0)), "Não está")</f>
        <v>4175315062</v>
      </c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</row>
    <row r="52" hidden="1">
      <c r="A52" s="126" t="s">
        <v>167</v>
      </c>
      <c r="B52" s="127"/>
      <c r="C52" s="127"/>
      <c r="D52" s="129">
        <v>4.175327831E9</v>
      </c>
      <c r="E52" s="130">
        <v>46268.0</v>
      </c>
      <c r="F52" s="129" t="s">
        <v>906</v>
      </c>
      <c r="G52" s="129" t="s">
        <v>951</v>
      </c>
      <c r="H52" s="129" t="s">
        <v>908</v>
      </c>
      <c r="I52" s="126" t="s">
        <v>1045</v>
      </c>
      <c r="J52" s="129" t="s">
        <v>950</v>
      </c>
      <c r="K52" s="124"/>
      <c r="L52" s="124" t="str">
        <f t="array" ref="L52">IFERROR(INDEX('Gerenciamento IH'!B:B,MATCH(A52,'Gerenciamento IH'!B:B,0)), "Não está")</f>
        <v>4175327831</v>
      </c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hidden="1">
      <c r="A53" s="126" t="s">
        <v>169</v>
      </c>
      <c r="B53" s="127"/>
      <c r="C53" s="127"/>
      <c r="D53" s="129">
        <v>4.175327861E9</v>
      </c>
      <c r="E53" s="130">
        <v>46268.0</v>
      </c>
      <c r="F53" s="129" t="s">
        <v>906</v>
      </c>
      <c r="G53" s="129" t="s">
        <v>1046</v>
      </c>
      <c r="H53" s="129" t="s">
        <v>908</v>
      </c>
      <c r="I53" s="126" t="s">
        <v>1047</v>
      </c>
      <c r="J53" s="129" t="s">
        <v>950</v>
      </c>
      <c r="K53" s="124"/>
      <c r="L53" s="124" t="str">
        <f t="array" ref="L53">IFERROR(INDEX('Gerenciamento IH'!B:B,MATCH(A53,'Gerenciamento IH'!B:B,0)), "Não está")</f>
        <v>4175327861</v>
      </c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</row>
    <row r="54" hidden="1">
      <c r="A54" s="126" t="s">
        <v>168</v>
      </c>
      <c r="B54" s="127"/>
      <c r="C54" s="127"/>
      <c r="D54" s="129">
        <v>4.175337909E9</v>
      </c>
      <c r="E54" s="130">
        <v>46298.0</v>
      </c>
      <c r="F54" s="129" t="s">
        <v>906</v>
      </c>
      <c r="G54" s="129" t="s">
        <v>970</v>
      </c>
      <c r="H54" s="129" t="s">
        <v>1048</v>
      </c>
      <c r="I54" s="126" t="s">
        <v>1049</v>
      </c>
      <c r="J54" s="130">
        <v>46298.0</v>
      </c>
      <c r="K54" s="124"/>
      <c r="L54" s="124" t="str">
        <f t="array" ref="L54">IFERROR(INDEX('Gerenciamento IH'!B:B,MATCH(A54,'Gerenciamento IH'!B:B,0)), "Não está")</f>
        <v>4175337909</v>
      </c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</row>
    <row r="55" hidden="1">
      <c r="A55" s="126" t="s">
        <v>173</v>
      </c>
      <c r="B55" s="127"/>
      <c r="C55" s="127"/>
      <c r="D55" s="129">
        <v>4.175343162E9</v>
      </c>
      <c r="E55" s="130">
        <v>46298.0</v>
      </c>
      <c r="F55" s="129" t="s">
        <v>906</v>
      </c>
      <c r="G55" s="129" t="s">
        <v>967</v>
      </c>
      <c r="H55" s="129" t="s">
        <v>908</v>
      </c>
      <c r="I55" s="126" t="s">
        <v>1050</v>
      </c>
      <c r="J55" s="129" t="s">
        <v>975</v>
      </c>
      <c r="K55" s="124"/>
      <c r="L55" s="124" t="str">
        <f t="array" ref="L55">IFERROR(INDEX('Gerenciamento IH'!B:B,MATCH(A55,'Gerenciamento IH'!B:B,0)), "Não está")</f>
        <v>4175343162</v>
      </c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</row>
    <row r="56" hidden="1">
      <c r="A56" s="126" t="s">
        <v>177</v>
      </c>
      <c r="B56" s="127"/>
      <c r="C56" s="127"/>
      <c r="D56" s="129">
        <v>4.175352436E9</v>
      </c>
      <c r="E56" s="130">
        <v>46329.0</v>
      </c>
      <c r="F56" s="129" t="s">
        <v>906</v>
      </c>
      <c r="G56" s="129" t="s">
        <v>1051</v>
      </c>
      <c r="H56" s="129" t="s">
        <v>908</v>
      </c>
      <c r="I56" s="126" t="s">
        <v>1052</v>
      </c>
      <c r="J56" s="129" t="s">
        <v>950</v>
      </c>
      <c r="K56" s="124"/>
      <c r="L56" s="124" t="str">
        <f t="array" ref="L56">IFERROR(INDEX('Gerenciamento IH'!B:B,MATCH(A56,'Gerenciamento IH'!B:B,0)), "Não está")</f>
        <v>4175352436</v>
      </c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 hidden="1">
      <c r="A57" s="126" t="s">
        <v>175</v>
      </c>
      <c r="B57" s="127"/>
      <c r="C57" s="127"/>
      <c r="D57" s="129">
        <v>4.17535507E9</v>
      </c>
      <c r="E57" s="131">
        <v>46329.0</v>
      </c>
      <c r="F57" s="129" t="s">
        <v>906</v>
      </c>
      <c r="G57" s="129" t="s">
        <v>1033</v>
      </c>
      <c r="H57" s="129" t="s">
        <v>908</v>
      </c>
      <c r="I57" s="126" t="s">
        <v>1053</v>
      </c>
      <c r="J57" s="129" t="s">
        <v>998</v>
      </c>
      <c r="K57" s="124"/>
      <c r="L57" s="124" t="str">
        <f t="array" ref="L57">IFERROR(INDEX('Gerenciamento IH'!B:B,MATCH(A57,'Gerenciamento IH'!B:B,0)), "Não está")</f>
        <v>4175355070</v>
      </c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</row>
    <row r="58" hidden="1">
      <c r="A58" s="126" t="s">
        <v>179</v>
      </c>
      <c r="B58" s="127"/>
      <c r="C58" s="127"/>
      <c r="D58" s="129">
        <v>4.175357508E9</v>
      </c>
      <c r="E58" s="131">
        <v>46359.0</v>
      </c>
      <c r="F58" s="129" t="s">
        <v>906</v>
      </c>
      <c r="G58" s="129" t="s">
        <v>951</v>
      </c>
      <c r="H58" s="129" t="s">
        <v>1054</v>
      </c>
      <c r="I58" s="126" t="s">
        <v>1055</v>
      </c>
      <c r="J58" s="129" t="s">
        <v>975</v>
      </c>
      <c r="K58" s="124"/>
      <c r="L58" s="124" t="str">
        <f t="array" ref="L58">IFERROR(INDEX('Gerenciamento IH'!B:B,MATCH(A58,'Gerenciamento IH'!B:B,0)), "Não está")</f>
        <v>4175357508</v>
      </c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</row>
    <row r="59" hidden="1">
      <c r="A59" s="126" t="s">
        <v>180</v>
      </c>
      <c r="B59" s="127"/>
      <c r="C59" s="127"/>
      <c r="D59" s="129">
        <v>4.175357679E9</v>
      </c>
      <c r="E59" s="130">
        <v>46359.0</v>
      </c>
      <c r="F59" s="129" t="s">
        <v>906</v>
      </c>
      <c r="G59" s="129" t="s">
        <v>951</v>
      </c>
      <c r="H59" s="129" t="s">
        <v>1056</v>
      </c>
      <c r="I59" s="126" t="s">
        <v>1055</v>
      </c>
      <c r="J59" s="129" t="s">
        <v>975</v>
      </c>
      <c r="K59" s="124"/>
      <c r="L59" s="124" t="str">
        <f t="array" ref="L59">IFERROR(INDEX('Gerenciamento IH'!B:B,MATCH(A59,'Gerenciamento IH'!B:B,0)), "Não está")</f>
        <v>4175357679</v>
      </c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</row>
    <row r="60" hidden="1">
      <c r="A60" s="126" t="s">
        <v>181</v>
      </c>
      <c r="B60" s="127"/>
      <c r="C60" s="127"/>
      <c r="D60" s="129">
        <v>4.175357699E9</v>
      </c>
      <c r="E60" s="130">
        <v>46359.0</v>
      </c>
      <c r="F60" s="129" t="s">
        <v>906</v>
      </c>
      <c r="G60" s="129" t="s">
        <v>970</v>
      </c>
      <c r="H60" s="129" t="s">
        <v>1057</v>
      </c>
      <c r="I60" s="126" t="s">
        <v>1058</v>
      </c>
      <c r="J60" s="129" t="s">
        <v>975</v>
      </c>
      <c r="K60" s="124"/>
      <c r="L60" s="124" t="str">
        <f t="array" ref="L60">IFERROR(INDEX('Gerenciamento IH'!B:B,MATCH(A60,'Gerenciamento IH'!B:B,0)), "Não está")</f>
        <v>4175357699</v>
      </c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</row>
    <row r="61" hidden="1">
      <c r="A61" s="126" t="s">
        <v>182</v>
      </c>
      <c r="B61" s="127"/>
      <c r="C61" s="127"/>
      <c r="D61" s="129">
        <v>4.175359543E9</v>
      </c>
      <c r="E61" s="130">
        <v>46359.0</v>
      </c>
      <c r="F61" s="129" t="s">
        <v>906</v>
      </c>
      <c r="G61" s="129" t="s">
        <v>982</v>
      </c>
      <c r="H61" s="129" t="s">
        <v>1059</v>
      </c>
      <c r="I61" s="126" t="s">
        <v>1060</v>
      </c>
      <c r="J61" s="129" t="s">
        <v>963</v>
      </c>
      <c r="K61" s="124"/>
      <c r="L61" s="124" t="str">
        <f t="array" ref="L61">IFERROR(INDEX('Gerenciamento IH'!B:B,MATCH(A61,'Gerenciamento IH'!B:B,0)), "Não está")</f>
        <v>4175359543</v>
      </c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</row>
    <row r="62" hidden="1">
      <c r="A62" s="126" t="s">
        <v>183</v>
      </c>
      <c r="B62" s="127"/>
      <c r="C62" s="127"/>
      <c r="D62" s="129">
        <v>4.175359741E9</v>
      </c>
      <c r="E62" s="130">
        <v>46359.0</v>
      </c>
      <c r="F62" s="129" t="s">
        <v>906</v>
      </c>
      <c r="G62" s="129" t="s">
        <v>967</v>
      </c>
      <c r="H62" s="129" t="s">
        <v>1061</v>
      </c>
      <c r="I62" s="126" t="s">
        <v>1062</v>
      </c>
      <c r="J62" s="129" t="s">
        <v>998</v>
      </c>
      <c r="K62" s="124"/>
      <c r="L62" s="124" t="str">
        <f t="array" ref="L62">IFERROR(INDEX('Gerenciamento IH'!B:B,MATCH(A62,'Gerenciamento IH'!B:B,0)), "Não está")</f>
        <v>4175359741</v>
      </c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</row>
    <row r="63" hidden="1">
      <c r="A63" s="126" t="s">
        <v>184</v>
      </c>
      <c r="B63" s="127"/>
      <c r="C63" s="127"/>
      <c r="D63" s="129">
        <v>4.175360035E9</v>
      </c>
      <c r="E63" s="130">
        <v>46359.0</v>
      </c>
      <c r="F63" s="129" t="s">
        <v>906</v>
      </c>
      <c r="G63" s="129" t="s">
        <v>1063</v>
      </c>
      <c r="H63" s="129" t="s">
        <v>1064</v>
      </c>
      <c r="I63" s="126" t="s">
        <v>1065</v>
      </c>
      <c r="J63" s="129" t="s">
        <v>950</v>
      </c>
      <c r="K63" s="124"/>
      <c r="L63" s="124" t="str">
        <f t="array" ref="L63">IFERROR(INDEX('Gerenciamento IH'!B:B,MATCH(A63,'Gerenciamento IH'!B:B,0)), "Não está")</f>
        <v>4175360035</v>
      </c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</row>
    <row r="64" hidden="1">
      <c r="A64" s="126" t="s">
        <v>186</v>
      </c>
      <c r="B64" s="127"/>
      <c r="C64" s="127"/>
      <c r="D64" s="129">
        <v>4.175360148E9</v>
      </c>
      <c r="E64" s="130">
        <v>46359.0</v>
      </c>
      <c r="F64" s="129" t="s">
        <v>906</v>
      </c>
      <c r="G64" s="129" t="s">
        <v>967</v>
      </c>
      <c r="H64" s="129" t="s">
        <v>1066</v>
      </c>
      <c r="I64" s="126" t="s">
        <v>1067</v>
      </c>
      <c r="J64" s="129" t="s">
        <v>998</v>
      </c>
      <c r="K64" s="124"/>
      <c r="L64" s="124" t="str">
        <f t="array" ref="L64">IFERROR(INDEX('Gerenciamento IH'!B:B,MATCH(A64,'Gerenciamento IH'!B:B,0)), "Não está")</f>
        <v>4175360148</v>
      </c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</row>
    <row r="65" hidden="1">
      <c r="A65" s="126" t="s">
        <v>188</v>
      </c>
      <c r="B65" s="127"/>
      <c r="C65" s="127"/>
      <c r="D65" s="129">
        <v>4.175360623E9</v>
      </c>
      <c r="E65" s="130">
        <v>46359.0</v>
      </c>
      <c r="F65" s="129" t="s">
        <v>906</v>
      </c>
      <c r="G65" s="129" t="s">
        <v>937</v>
      </c>
      <c r="H65" s="129" t="s">
        <v>1068</v>
      </c>
      <c r="I65" s="126" t="s">
        <v>1069</v>
      </c>
      <c r="J65" s="129" t="s">
        <v>975</v>
      </c>
      <c r="K65" s="124"/>
      <c r="L65" s="124" t="str">
        <f t="array" ref="L65">IFERROR(INDEX('Gerenciamento IH'!B:B,MATCH(A65,'Gerenciamento IH'!B:B,0)), "Não está")</f>
        <v>4175360623</v>
      </c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</row>
    <row r="66" hidden="1">
      <c r="A66" s="126" t="s">
        <v>189</v>
      </c>
      <c r="B66" s="127"/>
      <c r="C66" s="127"/>
      <c r="D66" s="129">
        <v>4.175360926E9</v>
      </c>
      <c r="E66" s="130">
        <v>46359.0</v>
      </c>
      <c r="F66" s="129" t="s">
        <v>906</v>
      </c>
      <c r="G66" s="129" t="s">
        <v>937</v>
      </c>
      <c r="H66" s="129" t="s">
        <v>1070</v>
      </c>
      <c r="I66" s="126" t="s">
        <v>1071</v>
      </c>
      <c r="J66" s="129" t="s">
        <v>998</v>
      </c>
      <c r="K66" s="124"/>
      <c r="L66" s="124" t="str">
        <f t="array" ref="L66">IFERROR(INDEX('Gerenciamento IH'!B:B,MATCH(A66,'Gerenciamento IH'!B:B,0)), "Não está")</f>
        <v>4175360926</v>
      </c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</row>
    <row r="67" hidden="1">
      <c r="A67" s="126" t="s">
        <v>190</v>
      </c>
      <c r="B67" s="127"/>
      <c r="C67" s="127"/>
      <c r="D67" s="129">
        <v>4.17536105E9</v>
      </c>
      <c r="E67" s="130">
        <v>46359.0</v>
      </c>
      <c r="F67" s="129" t="s">
        <v>906</v>
      </c>
      <c r="G67" s="129" t="s">
        <v>976</v>
      </c>
      <c r="H67" s="129" t="s">
        <v>1072</v>
      </c>
      <c r="I67" s="126" t="s">
        <v>1073</v>
      </c>
      <c r="J67" s="129" t="s">
        <v>975</v>
      </c>
      <c r="K67" s="124"/>
      <c r="L67" s="124" t="str">
        <f t="array" ref="L67">IFERROR(INDEX('Gerenciamento IH'!B:B,MATCH(A67,'Gerenciamento IH'!B:B,0)), "Não está")</f>
        <v>4175361050</v>
      </c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</row>
    <row r="68" hidden="1">
      <c r="A68" s="126" t="s">
        <v>191</v>
      </c>
      <c r="B68" s="127"/>
      <c r="C68" s="127"/>
      <c r="D68" s="129">
        <v>4.175363665E9</v>
      </c>
      <c r="E68" s="130">
        <v>46359.0</v>
      </c>
      <c r="F68" s="129" t="s">
        <v>906</v>
      </c>
      <c r="G68" s="129" t="s">
        <v>937</v>
      </c>
      <c r="H68" s="129" t="s">
        <v>1074</v>
      </c>
      <c r="I68" s="126" t="s">
        <v>1075</v>
      </c>
      <c r="J68" s="129" t="s">
        <v>975</v>
      </c>
      <c r="K68" s="124"/>
      <c r="L68" s="124" t="str">
        <f t="array" ref="L68">IFERROR(INDEX('Gerenciamento IH'!B:B,MATCH(A68,'Gerenciamento IH'!B:B,0)), "Não está")</f>
        <v>4175363665</v>
      </c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</row>
    <row r="69" hidden="1">
      <c r="A69" s="126" t="s">
        <v>192</v>
      </c>
      <c r="B69" s="127"/>
      <c r="C69" s="127"/>
      <c r="D69" s="129">
        <v>4.17536376E9</v>
      </c>
      <c r="E69" s="130">
        <v>46359.0</v>
      </c>
      <c r="F69" s="129" t="s">
        <v>906</v>
      </c>
      <c r="G69" s="129" t="s">
        <v>967</v>
      </c>
      <c r="H69" s="129" t="s">
        <v>1076</v>
      </c>
      <c r="I69" s="126" t="s">
        <v>1077</v>
      </c>
      <c r="J69" s="129" t="s">
        <v>975</v>
      </c>
      <c r="K69" s="124"/>
      <c r="L69" s="124" t="str">
        <f t="array" ref="L69">IFERROR(INDEX('Gerenciamento IH'!B:B,MATCH(A69,'Gerenciamento IH'!B:B,0)), "Não está")</f>
        <v>4175363760</v>
      </c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</row>
    <row r="70" hidden="1">
      <c r="A70" s="126" t="s">
        <v>193</v>
      </c>
      <c r="B70" s="127"/>
      <c r="C70" s="127"/>
      <c r="D70" s="129">
        <v>4.175363875E9</v>
      </c>
      <c r="E70" s="130">
        <v>46359.0</v>
      </c>
      <c r="F70" s="129" t="s">
        <v>906</v>
      </c>
      <c r="G70" s="129" t="s">
        <v>1078</v>
      </c>
      <c r="H70" s="129" t="s">
        <v>1079</v>
      </c>
      <c r="I70" s="126" t="s">
        <v>1080</v>
      </c>
      <c r="J70" s="129" t="s">
        <v>963</v>
      </c>
      <c r="K70" s="124"/>
      <c r="L70" s="124" t="str">
        <f t="array" ref="L70">IFERROR(INDEX('Gerenciamento IH'!B:B,MATCH(A70,'Gerenciamento IH'!B:B,0)), "Não está")</f>
        <v>4175363875</v>
      </c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</row>
    <row r="71" hidden="1">
      <c r="A71" s="126" t="s">
        <v>196</v>
      </c>
      <c r="B71" s="127"/>
      <c r="C71" s="127"/>
      <c r="D71" s="129">
        <v>4.175371752E9</v>
      </c>
      <c r="E71" s="129" t="s">
        <v>1081</v>
      </c>
      <c r="F71" s="129" t="s">
        <v>906</v>
      </c>
      <c r="G71" s="129" t="s">
        <v>1082</v>
      </c>
      <c r="H71" s="129" t="s">
        <v>908</v>
      </c>
      <c r="I71" s="126" t="s">
        <v>1083</v>
      </c>
      <c r="J71" s="129" t="s">
        <v>950</v>
      </c>
      <c r="K71" s="124"/>
      <c r="L71" s="124" t="str">
        <f t="array" ref="L71">IFERROR(INDEX('Gerenciamento IH'!B:B,MATCH(A71,'Gerenciamento IH'!B:B,0)), "Não está")</f>
        <v>4175371752</v>
      </c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</row>
    <row r="72" hidden="1">
      <c r="A72" s="126" t="s">
        <v>197</v>
      </c>
      <c r="B72" s="127"/>
      <c r="C72" s="127"/>
      <c r="D72" s="129">
        <v>4.175378533E9</v>
      </c>
      <c r="E72" s="129" t="s">
        <v>973</v>
      </c>
      <c r="F72" s="129" t="s">
        <v>906</v>
      </c>
      <c r="G72" s="129" t="s">
        <v>1042</v>
      </c>
      <c r="H72" s="129" t="s">
        <v>1084</v>
      </c>
      <c r="I72" s="126" t="s">
        <v>1085</v>
      </c>
      <c r="J72" s="129" t="s">
        <v>975</v>
      </c>
      <c r="K72" s="124"/>
      <c r="L72" s="124" t="str">
        <f t="array" ref="L72">IFERROR(INDEX('Gerenciamento IH'!B:B,MATCH(A72,'Gerenciamento IH'!B:B,0)), "Não está")</f>
        <v>4175378533</v>
      </c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</row>
    <row r="73" hidden="1">
      <c r="A73" s="126" t="s">
        <v>198</v>
      </c>
      <c r="B73" s="127"/>
      <c r="C73" s="127"/>
      <c r="D73" s="129">
        <v>4.175380653E9</v>
      </c>
      <c r="E73" s="129" t="s">
        <v>973</v>
      </c>
      <c r="F73" s="129" t="s">
        <v>906</v>
      </c>
      <c r="G73" s="129" t="s">
        <v>1086</v>
      </c>
      <c r="H73" s="129" t="s">
        <v>1087</v>
      </c>
      <c r="I73" s="126" t="s">
        <v>1088</v>
      </c>
      <c r="J73" s="129" t="s">
        <v>975</v>
      </c>
      <c r="K73" s="124"/>
      <c r="L73" s="124" t="str">
        <f t="array" ref="L73">IFERROR(INDEX('Gerenciamento IH'!B:B,MATCH(A73,'Gerenciamento IH'!B:B,0)), "Não está")</f>
        <v>4175380653</v>
      </c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</row>
    <row r="74" hidden="1">
      <c r="A74" s="126" t="s">
        <v>199</v>
      </c>
      <c r="B74" s="127"/>
      <c r="C74" s="127"/>
      <c r="D74" s="129">
        <v>4.175384452E9</v>
      </c>
      <c r="E74" s="129" t="s">
        <v>973</v>
      </c>
      <c r="F74" s="129" t="s">
        <v>906</v>
      </c>
      <c r="G74" s="129" t="s">
        <v>1089</v>
      </c>
      <c r="H74" s="129" t="s">
        <v>908</v>
      </c>
      <c r="I74" s="126" t="s">
        <v>1090</v>
      </c>
      <c r="J74" s="129" t="s">
        <v>905</v>
      </c>
      <c r="K74" s="124"/>
      <c r="L74" s="124" t="str">
        <f t="array" ref="L74">IFERROR(INDEX('Gerenciamento IH'!B:B,MATCH(A74,'Gerenciamento IH'!B:B,0)), "Não está")</f>
        <v>4175384452</v>
      </c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</row>
    <row r="75" hidden="1">
      <c r="A75" s="126" t="s">
        <v>227</v>
      </c>
      <c r="B75" s="127"/>
      <c r="C75" s="127"/>
      <c r="D75" s="129">
        <v>4.175433654E9</v>
      </c>
      <c r="E75" s="129" t="s">
        <v>998</v>
      </c>
      <c r="F75" s="129" t="s">
        <v>906</v>
      </c>
      <c r="G75" s="129" t="s">
        <v>967</v>
      </c>
      <c r="H75" s="129" t="s">
        <v>908</v>
      </c>
      <c r="I75" s="126" t="s">
        <v>1091</v>
      </c>
      <c r="J75" s="130">
        <v>46177.0</v>
      </c>
      <c r="K75" s="124"/>
      <c r="L75" s="124" t="str">
        <f t="array" ref="L75">IFERROR(INDEX('Gerenciamento IH'!B:B,MATCH(A75,'Gerenciamento IH'!B:B,0)), "Não está")</f>
        <v>4175433654</v>
      </c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</row>
    <row r="76" hidden="1">
      <c r="A76" s="126" t="s">
        <v>205</v>
      </c>
      <c r="B76" s="127"/>
      <c r="C76" s="127"/>
      <c r="D76" s="129">
        <v>4.175437307E9</v>
      </c>
      <c r="E76" s="129" t="s">
        <v>1092</v>
      </c>
      <c r="F76" s="129" t="s">
        <v>906</v>
      </c>
      <c r="G76" s="129" t="s">
        <v>1093</v>
      </c>
      <c r="H76" s="129" t="s">
        <v>908</v>
      </c>
      <c r="I76" s="126" t="s">
        <v>1094</v>
      </c>
      <c r="J76" s="130">
        <v>46207.0</v>
      </c>
      <c r="K76" s="124"/>
      <c r="L76" s="124" t="str">
        <f t="array" ref="L76">IFERROR(INDEX('Gerenciamento IH'!B:B,MATCH(A76,'Gerenciamento IH'!B:B,0)), "Não está")</f>
        <v>4175437307</v>
      </c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</row>
    <row r="77" hidden="1">
      <c r="A77" s="126" t="s">
        <v>204</v>
      </c>
      <c r="B77" s="127"/>
      <c r="C77" s="127"/>
      <c r="D77" s="129">
        <v>4.175449224E9</v>
      </c>
      <c r="E77" s="129" t="s">
        <v>984</v>
      </c>
      <c r="F77" s="129" t="s">
        <v>906</v>
      </c>
      <c r="G77" s="129" t="s">
        <v>1095</v>
      </c>
      <c r="H77" s="129" t="s">
        <v>1096</v>
      </c>
      <c r="I77" s="126" t="s">
        <v>1097</v>
      </c>
      <c r="J77" s="129" t="s">
        <v>1098</v>
      </c>
      <c r="K77" s="124"/>
      <c r="L77" s="124" t="str">
        <f t="array" ref="L77">IFERROR(INDEX('Gerenciamento IH'!B:B,MATCH(A77,'Gerenciamento IH'!B:B,0)), "Não está")</f>
        <v>4175449224</v>
      </c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</row>
    <row r="78" hidden="1">
      <c r="A78" s="126" t="s">
        <v>208</v>
      </c>
      <c r="B78" s="127"/>
      <c r="C78" s="127"/>
      <c r="D78" s="129">
        <v>4.175456419E9</v>
      </c>
      <c r="E78" s="129" t="s">
        <v>1099</v>
      </c>
      <c r="F78" s="129" t="s">
        <v>906</v>
      </c>
      <c r="G78" s="129" t="s">
        <v>967</v>
      </c>
      <c r="H78" s="129" t="s">
        <v>1100</v>
      </c>
      <c r="I78" s="126" t="s">
        <v>1101</v>
      </c>
      <c r="J78" s="129" t="s">
        <v>1099</v>
      </c>
      <c r="K78" s="124"/>
      <c r="L78" s="124" t="str">
        <f t="array" ref="L78">IFERROR(INDEX('Gerenciamento IH'!B:B,MATCH(A78,'Gerenciamento IH'!B:B,0)), "Não está")</f>
        <v>4175456419</v>
      </c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</row>
    <row r="79" hidden="1">
      <c r="A79" s="126" t="s">
        <v>207</v>
      </c>
      <c r="B79" s="127"/>
      <c r="C79" s="127"/>
      <c r="D79" s="129">
        <v>4.175456811E9</v>
      </c>
      <c r="E79" s="129" t="s">
        <v>1099</v>
      </c>
      <c r="F79" s="129" t="s">
        <v>906</v>
      </c>
      <c r="G79" s="129" t="s">
        <v>970</v>
      </c>
      <c r="H79" s="129" t="s">
        <v>1102</v>
      </c>
      <c r="I79" s="126" t="s">
        <v>1103</v>
      </c>
      <c r="J79" s="129" t="s">
        <v>920</v>
      </c>
      <c r="K79" s="124"/>
      <c r="L79" s="124" t="str">
        <f t="array" ref="L79">IFERROR(INDEX('Gerenciamento IH'!B:B,MATCH(A79,'Gerenciamento IH'!B:B,0)), "Não está")</f>
        <v>4175456811</v>
      </c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</row>
    <row r="80" hidden="1">
      <c r="A80" s="126" t="s">
        <v>210</v>
      </c>
      <c r="B80" s="127"/>
      <c r="C80" s="127"/>
      <c r="D80" s="129">
        <v>4.175468326E9</v>
      </c>
      <c r="E80" s="129" t="s">
        <v>933</v>
      </c>
      <c r="F80" s="129" t="s">
        <v>906</v>
      </c>
      <c r="G80" s="129" t="s">
        <v>1104</v>
      </c>
      <c r="H80" s="129" t="s">
        <v>1105</v>
      </c>
      <c r="I80" s="126" t="s">
        <v>1106</v>
      </c>
      <c r="J80" s="130">
        <v>46085.0</v>
      </c>
      <c r="K80" s="124"/>
      <c r="L80" s="124" t="str">
        <f t="array" ref="L80">IFERROR(INDEX('Gerenciamento IH'!B:B,MATCH(A80,'Gerenciamento IH'!B:B,0)), "Não está")</f>
        <v>4175468326</v>
      </c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</row>
    <row r="81" hidden="1">
      <c r="A81" s="126" t="s">
        <v>212</v>
      </c>
      <c r="B81" s="127"/>
      <c r="C81" s="127"/>
      <c r="D81" s="129">
        <v>4.175469595E9</v>
      </c>
      <c r="E81" s="129" t="s">
        <v>933</v>
      </c>
      <c r="F81" s="129" t="s">
        <v>906</v>
      </c>
      <c r="G81" s="129" t="s">
        <v>937</v>
      </c>
      <c r="H81" s="129" t="s">
        <v>908</v>
      </c>
      <c r="I81" s="126" t="s">
        <v>1107</v>
      </c>
      <c r="J81" s="130">
        <v>46026.0</v>
      </c>
      <c r="K81" s="124"/>
      <c r="L81" s="124" t="str">
        <f t="array" ref="L81">IFERROR(INDEX('Gerenciamento IH'!B:B,MATCH(A81,'Gerenciamento IH'!B:B,0)), "Não está")</f>
        <v>4175469595</v>
      </c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</row>
    <row r="82" hidden="1">
      <c r="A82" s="126" t="s">
        <v>213</v>
      </c>
      <c r="B82" s="127"/>
      <c r="C82" s="127"/>
      <c r="D82" s="129">
        <v>4.175470196E9</v>
      </c>
      <c r="E82" s="129" t="s">
        <v>933</v>
      </c>
      <c r="F82" s="129" t="s">
        <v>906</v>
      </c>
      <c r="G82" s="129" t="s">
        <v>976</v>
      </c>
      <c r="H82" s="129" t="s">
        <v>908</v>
      </c>
      <c r="I82" s="126" t="s">
        <v>1108</v>
      </c>
      <c r="J82" s="130">
        <v>46026.0</v>
      </c>
      <c r="K82" s="124"/>
      <c r="L82" s="124" t="str">
        <f t="array" ref="L82">IFERROR(INDEX('Gerenciamento IH'!B:B,MATCH(A82,'Gerenciamento IH'!B:B,0)), "Não está")</f>
        <v>4175470196</v>
      </c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</row>
    <row r="83" hidden="1">
      <c r="A83" s="126" t="s">
        <v>209</v>
      </c>
      <c r="B83" s="127"/>
      <c r="C83" s="127"/>
      <c r="D83" s="129">
        <v>4.175475967E9</v>
      </c>
      <c r="E83" s="129" t="s">
        <v>966</v>
      </c>
      <c r="F83" s="129" t="s">
        <v>906</v>
      </c>
      <c r="G83" s="129" t="s">
        <v>937</v>
      </c>
      <c r="H83" s="129" t="s">
        <v>1109</v>
      </c>
      <c r="I83" s="126" t="s">
        <v>1101</v>
      </c>
      <c r="J83" s="130">
        <v>46026.0</v>
      </c>
      <c r="K83" s="124"/>
      <c r="L83" s="124" t="str">
        <f t="array" ref="L83">IFERROR(INDEX('Gerenciamento IH'!B:B,MATCH(A83,'Gerenciamento IH'!B:B,0)), "Não está")</f>
        <v>4175475967</v>
      </c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</row>
    <row r="84" hidden="1">
      <c r="A84" s="126" t="s">
        <v>215</v>
      </c>
      <c r="B84" s="127"/>
      <c r="C84" s="127"/>
      <c r="D84" s="129">
        <v>4.175483675E9</v>
      </c>
      <c r="E84" s="129" t="s">
        <v>966</v>
      </c>
      <c r="F84" s="129" t="s">
        <v>906</v>
      </c>
      <c r="G84" s="129" t="s">
        <v>1110</v>
      </c>
      <c r="H84" s="129" t="s">
        <v>1111</v>
      </c>
      <c r="I84" s="126" t="s">
        <v>216</v>
      </c>
      <c r="J84" s="130">
        <v>46057.0</v>
      </c>
      <c r="K84" s="124"/>
      <c r="L84" s="124" t="str">
        <f t="array" ref="L84">IFERROR(INDEX('Gerenciamento IH'!B:B,MATCH(A84,'Gerenciamento IH'!B:B,0)), "Não está")</f>
        <v>4175483675</v>
      </c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</row>
    <row r="85" hidden="1">
      <c r="A85" s="126" t="s">
        <v>217</v>
      </c>
      <c r="B85" s="127"/>
      <c r="C85" s="127"/>
      <c r="D85" s="129">
        <v>4.175483939E9</v>
      </c>
      <c r="E85" s="129" t="s">
        <v>966</v>
      </c>
      <c r="F85" s="129" t="s">
        <v>906</v>
      </c>
      <c r="G85" s="129" t="s">
        <v>1112</v>
      </c>
      <c r="H85" s="129" t="s">
        <v>1113</v>
      </c>
      <c r="I85" s="126" t="s">
        <v>1114</v>
      </c>
      <c r="J85" s="130">
        <v>46026.0</v>
      </c>
      <c r="K85" s="124"/>
      <c r="L85" s="124" t="str">
        <f t="array" ref="L85">IFERROR(INDEX('Gerenciamento IH'!B:B,MATCH(A85,'Gerenciamento IH'!B:B,0)), "Não está")</f>
        <v>4175483939</v>
      </c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</row>
    <row r="86" hidden="1">
      <c r="A86" s="126" t="s">
        <v>218</v>
      </c>
      <c r="B86" s="127"/>
      <c r="C86" s="127"/>
      <c r="D86" s="129">
        <v>4.175484789E9</v>
      </c>
      <c r="E86" s="129" t="s">
        <v>966</v>
      </c>
      <c r="F86" s="129" t="s">
        <v>906</v>
      </c>
      <c r="G86" s="129" t="s">
        <v>1115</v>
      </c>
      <c r="H86" s="129" t="s">
        <v>1116</v>
      </c>
      <c r="I86" s="126" t="s">
        <v>1117</v>
      </c>
      <c r="J86" s="130">
        <v>46026.0</v>
      </c>
      <c r="K86" s="124"/>
      <c r="L86" s="124" t="str">
        <f t="array" ref="L86">IFERROR(INDEX('Gerenciamento IH'!B:B,MATCH(A86,'Gerenciamento IH'!B:B,0)), "Não está")</f>
        <v>4175484789</v>
      </c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</row>
    <row r="87" hidden="1">
      <c r="A87" s="126" t="s">
        <v>219</v>
      </c>
      <c r="B87" s="127"/>
      <c r="C87" s="127"/>
      <c r="D87" s="129">
        <v>4.175484858E9</v>
      </c>
      <c r="E87" s="129" t="s">
        <v>966</v>
      </c>
      <c r="F87" s="129" t="s">
        <v>906</v>
      </c>
      <c r="G87" s="129" t="s">
        <v>1118</v>
      </c>
      <c r="H87" s="129" t="s">
        <v>1119</v>
      </c>
      <c r="I87" s="126" t="s">
        <v>1120</v>
      </c>
      <c r="J87" s="129" t="s">
        <v>914</v>
      </c>
      <c r="K87" s="124"/>
      <c r="L87" s="124" t="str">
        <f t="array" ref="L87">IFERROR(INDEX('Gerenciamento IH'!B:B,MATCH(A87,'Gerenciamento IH'!B:B,0)), "Não está")</f>
        <v>4175484858</v>
      </c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</row>
    <row r="88" hidden="1">
      <c r="A88" s="126" t="s">
        <v>220</v>
      </c>
      <c r="B88" s="127"/>
      <c r="C88" s="127"/>
      <c r="D88" s="129">
        <v>4.175484923E9</v>
      </c>
      <c r="E88" s="129" t="s">
        <v>966</v>
      </c>
      <c r="F88" s="129" t="s">
        <v>906</v>
      </c>
      <c r="G88" s="129" t="s">
        <v>1121</v>
      </c>
      <c r="H88" s="129" t="s">
        <v>1122</v>
      </c>
      <c r="I88" s="126" t="s">
        <v>1123</v>
      </c>
      <c r="J88" s="130">
        <v>46177.0</v>
      </c>
      <c r="K88" s="124"/>
      <c r="L88" s="124" t="str">
        <f t="array" ref="L88">IFERROR(INDEX('Gerenciamento IH'!B:B,MATCH(A88,'Gerenciamento IH'!B:B,0)), "Não está")</f>
        <v>4175484923</v>
      </c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</row>
    <row r="89" hidden="1">
      <c r="A89" s="126" t="s">
        <v>221</v>
      </c>
      <c r="B89" s="127"/>
      <c r="C89" s="127"/>
      <c r="D89" s="129">
        <v>4.17548497E9</v>
      </c>
      <c r="E89" s="129" t="s">
        <v>966</v>
      </c>
      <c r="F89" s="129" t="s">
        <v>906</v>
      </c>
      <c r="G89" s="129" t="s">
        <v>1124</v>
      </c>
      <c r="H89" s="129" t="s">
        <v>1125</v>
      </c>
      <c r="I89" s="126" t="s">
        <v>1126</v>
      </c>
      <c r="J89" s="130">
        <v>46026.0</v>
      </c>
      <c r="K89" s="124"/>
      <c r="L89" s="124" t="str">
        <f t="array" ref="L89">IFERROR(INDEX('Gerenciamento IH'!B:B,MATCH(A89,'Gerenciamento IH'!B:B,0)), "Não está")</f>
        <v>4175484970</v>
      </c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</row>
    <row r="90" hidden="1">
      <c r="A90" s="126" t="s">
        <v>222</v>
      </c>
      <c r="B90" s="127"/>
      <c r="C90" s="127"/>
      <c r="D90" s="129">
        <v>4.175487994E9</v>
      </c>
      <c r="E90" s="129" t="s">
        <v>1098</v>
      </c>
      <c r="F90" s="129" t="s">
        <v>906</v>
      </c>
      <c r="G90" s="129" t="s">
        <v>915</v>
      </c>
      <c r="H90" s="129" t="s">
        <v>1127</v>
      </c>
      <c r="I90" s="126" t="s">
        <v>1128</v>
      </c>
      <c r="J90" s="130">
        <v>46057.0</v>
      </c>
      <c r="K90" s="124"/>
      <c r="L90" s="124" t="str">
        <f t="array" ref="L90">IFERROR(INDEX('Gerenciamento IH'!B:B,MATCH(A90,'Gerenciamento IH'!B:B,0)), "Não está")</f>
        <v>4175487994</v>
      </c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</row>
    <row r="91" hidden="1">
      <c r="A91" s="126" t="s">
        <v>223</v>
      </c>
      <c r="B91" s="127"/>
      <c r="C91" s="127"/>
      <c r="D91" s="129">
        <v>4.175490185E9</v>
      </c>
      <c r="E91" s="129" t="s">
        <v>1098</v>
      </c>
      <c r="F91" s="129" t="s">
        <v>906</v>
      </c>
      <c r="G91" s="129" t="s">
        <v>1129</v>
      </c>
      <c r="H91" s="129" t="s">
        <v>1130</v>
      </c>
      <c r="I91" s="126" t="s">
        <v>1131</v>
      </c>
      <c r="J91" s="130">
        <v>46207.0</v>
      </c>
      <c r="K91" s="124"/>
      <c r="L91" s="124" t="str">
        <f t="array" ref="L91">IFERROR(INDEX('Gerenciamento IH'!B:B,MATCH(A91,'Gerenciamento IH'!B:B,0)), "Não está")</f>
        <v>4175490185</v>
      </c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</row>
    <row r="92" hidden="1">
      <c r="A92" s="126" t="s">
        <v>224</v>
      </c>
      <c r="B92" s="127"/>
      <c r="C92" s="127"/>
      <c r="D92" s="129">
        <v>4.175490687E9</v>
      </c>
      <c r="E92" s="129" t="s">
        <v>1098</v>
      </c>
      <c r="F92" s="129" t="s">
        <v>906</v>
      </c>
      <c r="G92" s="129" t="s">
        <v>1017</v>
      </c>
      <c r="H92" s="129" t="s">
        <v>1132</v>
      </c>
      <c r="I92" s="126" t="s">
        <v>1133</v>
      </c>
      <c r="J92" s="130">
        <v>46026.0</v>
      </c>
      <c r="K92" s="124"/>
      <c r="L92" s="124" t="str">
        <f t="array" ref="L92">IFERROR(INDEX('Gerenciamento IH'!B:B,MATCH(A92,'Gerenciamento IH'!B:B,0)), "Não está")</f>
        <v>4175490687</v>
      </c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</row>
    <row r="93" hidden="1">
      <c r="A93" s="126" t="s">
        <v>228</v>
      </c>
      <c r="B93" s="127"/>
      <c r="C93" s="127"/>
      <c r="D93" s="129">
        <v>4.175496565E9</v>
      </c>
      <c r="E93" s="130">
        <v>46026.0</v>
      </c>
      <c r="F93" s="129" t="s">
        <v>906</v>
      </c>
      <c r="G93" s="129" t="s">
        <v>1134</v>
      </c>
      <c r="H93" s="129" t="s">
        <v>1135</v>
      </c>
      <c r="I93" s="126" t="s">
        <v>1136</v>
      </c>
      <c r="J93" s="129" t="s">
        <v>963</v>
      </c>
      <c r="K93" s="124"/>
      <c r="L93" s="124" t="str">
        <f t="array" ref="L93">IFERROR(INDEX('Gerenciamento IH'!B:B,MATCH(A93,'Gerenciamento IH'!B:B,0)), "Não está")</f>
        <v>4175496565</v>
      </c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</row>
    <row r="94" hidden="1">
      <c r="A94" s="126" t="s">
        <v>225</v>
      </c>
      <c r="B94" s="127"/>
      <c r="C94" s="127"/>
      <c r="D94" s="129">
        <v>4.175496687E9</v>
      </c>
      <c r="E94" s="130">
        <v>46026.0</v>
      </c>
      <c r="F94" s="129" t="s">
        <v>906</v>
      </c>
      <c r="G94" s="129" t="s">
        <v>970</v>
      </c>
      <c r="H94" s="129" t="s">
        <v>908</v>
      </c>
      <c r="I94" s="126" t="s">
        <v>1137</v>
      </c>
      <c r="J94" s="130">
        <v>46269.0</v>
      </c>
      <c r="K94" s="124"/>
      <c r="L94" s="124" t="str">
        <f t="array" ref="L94">IFERROR(INDEX('Gerenciamento IH'!B:B,MATCH(A94,'Gerenciamento IH'!B:B,0)), "Não está")</f>
        <v>4175496687</v>
      </c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</row>
    <row r="95" hidden="1">
      <c r="A95" s="126" t="s">
        <v>226</v>
      </c>
      <c r="B95" s="127"/>
      <c r="C95" s="127"/>
      <c r="D95" s="129">
        <v>4.175500673E9</v>
      </c>
      <c r="E95" s="130">
        <v>46026.0</v>
      </c>
      <c r="F95" s="129" t="s">
        <v>906</v>
      </c>
      <c r="G95" s="129" t="s">
        <v>1006</v>
      </c>
      <c r="H95" s="129" t="s">
        <v>1138</v>
      </c>
      <c r="I95" s="126" t="s">
        <v>1139</v>
      </c>
      <c r="J95" s="130">
        <v>46085.0</v>
      </c>
      <c r="K95" s="124"/>
      <c r="L95" s="124" t="str">
        <f t="array" ref="L95">IFERROR(INDEX('Gerenciamento IH'!B:B,MATCH(A95,'Gerenciamento IH'!B:B,0)), "Não está")</f>
        <v>4175500673</v>
      </c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</row>
    <row r="96" hidden="1">
      <c r="A96" s="126" t="s">
        <v>214</v>
      </c>
      <c r="B96" s="127"/>
      <c r="C96" s="127"/>
      <c r="D96" s="129">
        <v>4.175504085E9</v>
      </c>
      <c r="E96" s="130">
        <v>46057.0</v>
      </c>
      <c r="F96" s="129" t="s">
        <v>906</v>
      </c>
      <c r="G96" s="129" t="s">
        <v>982</v>
      </c>
      <c r="H96" s="129" t="s">
        <v>1140</v>
      </c>
      <c r="I96" s="126" t="s">
        <v>1141</v>
      </c>
      <c r="J96" s="130">
        <v>46057.0</v>
      </c>
      <c r="K96" s="124"/>
      <c r="L96" s="124" t="str">
        <f t="array" ref="L96">IFERROR(INDEX('Gerenciamento IH'!B:B,MATCH(A96,'Gerenciamento IH'!B:B,0)), "Não está")</f>
        <v>4175504085</v>
      </c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</row>
    <row r="97" hidden="1">
      <c r="A97" s="126" t="s">
        <v>231</v>
      </c>
      <c r="B97" s="127"/>
      <c r="C97" s="127"/>
      <c r="D97" s="129">
        <v>4.175535399E9</v>
      </c>
      <c r="E97" s="130">
        <v>46207.0</v>
      </c>
      <c r="F97" s="129" t="s">
        <v>906</v>
      </c>
      <c r="G97" s="129" t="s">
        <v>1142</v>
      </c>
      <c r="H97" s="129" t="s">
        <v>1143</v>
      </c>
      <c r="I97" s="126" t="s">
        <v>1094</v>
      </c>
      <c r="J97" s="129" t="s">
        <v>905</v>
      </c>
      <c r="K97" s="124"/>
      <c r="L97" s="124" t="str">
        <f t="array" ref="L97">IFERROR(INDEX('Gerenciamento IH'!B:B,MATCH(A97,'Gerenciamento IH'!B:B,0)), "Não está")</f>
        <v>4175535399</v>
      </c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</row>
    <row r="98" hidden="1">
      <c r="A98" s="126" t="s">
        <v>232</v>
      </c>
      <c r="B98" s="127"/>
      <c r="C98" s="127"/>
      <c r="D98" s="129">
        <v>4.175555212E9</v>
      </c>
      <c r="E98" s="130">
        <v>46269.0</v>
      </c>
      <c r="F98" s="129" t="s">
        <v>906</v>
      </c>
      <c r="G98" s="129" t="s">
        <v>1144</v>
      </c>
      <c r="H98" s="129" t="s">
        <v>908</v>
      </c>
      <c r="I98" s="126" t="s">
        <v>1145</v>
      </c>
      <c r="J98" s="129" t="s">
        <v>963</v>
      </c>
      <c r="K98" s="124"/>
      <c r="L98" s="124" t="str">
        <f t="array" ref="L98">IFERROR(INDEX('Gerenciamento IH'!B:B,MATCH(A98,'Gerenciamento IH'!B:B,0)), "Não está")</f>
        <v>4175555212</v>
      </c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</row>
    <row r="99" hidden="1">
      <c r="A99" s="126" t="s">
        <v>233</v>
      </c>
      <c r="B99" s="127"/>
      <c r="C99" s="127"/>
      <c r="D99" s="129">
        <v>4.175559602E9</v>
      </c>
      <c r="E99" s="131">
        <v>46299.0</v>
      </c>
      <c r="F99" s="129" t="s">
        <v>906</v>
      </c>
      <c r="G99" s="129" t="s">
        <v>1121</v>
      </c>
      <c r="H99" s="129" t="s">
        <v>1146</v>
      </c>
      <c r="I99" s="126" t="s">
        <v>1147</v>
      </c>
      <c r="J99" s="129" t="s">
        <v>1148</v>
      </c>
      <c r="K99" s="124"/>
      <c r="L99" s="124" t="str">
        <f t="array" ref="L99">IFERROR(INDEX('Gerenciamento IH'!B:B,MATCH(A99,'Gerenciamento IH'!B:B,0)), "Não está")</f>
        <v>4175559602</v>
      </c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</row>
    <row r="100" hidden="1">
      <c r="A100" s="126" t="s">
        <v>241</v>
      </c>
      <c r="B100" s="127"/>
      <c r="C100" s="127"/>
      <c r="D100" s="129">
        <v>4.175586801E9</v>
      </c>
      <c r="E100" s="129" t="s">
        <v>963</v>
      </c>
      <c r="F100" s="129" t="s">
        <v>906</v>
      </c>
      <c r="G100" s="129" t="s">
        <v>1033</v>
      </c>
      <c r="H100" s="129" t="s">
        <v>908</v>
      </c>
      <c r="I100" s="126" t="s">
        <v>1149</v>
      </c>
      <c r="J100" s="129" t="s">
        <v>905</v>
      </c>
      <c r="K100" s="124"/>
      <c r="L100" s="124" t="str">
        <f t="array" ref="L100">IFERROR(INDEX('Gerenciamento IH'!B:B,MATCH(A100,'Gerenciamento IH'!B:B,0)), "Não está")</f>
        <v>4175586801</v>
      </c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</row>
    <row r="101" hidden="1">
      <c r="A101" s="126" t="s">
        <v>240</v>
      </c>
      <c r="B101" s="127"/>
      <c r="C101" s="127"/>
      <c r="D101" s="129">
        <v>4.175597428E9</v>
      </c>
      <c r="E101" s="129" t="s">
        <v>905</v>
      </c>
      <c r="F101" s="129" t="s">
        <v>906</v>
      </c>
      <c r="G101" s="129" t="s">
        <v>1150</v>
      </c>
      <c r="H101" s="129" t="s">
        <v>1151</v>
      </c>
      <c r="I101" s="126" t="s">
        <v>1152</v>
      </c>
      <c r="J101" s="129" t="s">
        <v>905</v>
      </c>
      <c r="K101" s="124"/>
      <c r="L101" s="124" t="str">
        <f t="array" ref="L101">IFERROR(INDEX('Gerenciamento IH'!B:B,MATCH(A101,'Gerenciamento IH'!B:B,0)), "Não está")</f>
        <v>4175597428</v>
      </c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</row>
    <row r="102" hidden="1">
      <c r="A102" s="126" t="s">
        <v>22</v>
      </c>
      <c r="B102" s="127"/>
      <c r="C102" s="127"/>
      <c r="D102" s="129">
        <v>4.174445115E9</v>
      </c>
      <c r="E102" s="131">
        <v>45941.0</v>
      </c>
      <c r="F102" s="129" t="s">
        <v>906</v>
      </c>
      <c r="G102" s="129" t="s">
        <v>979</v>
      </c>
      <c r="H102" s="129" t="s">
        <v>1153</v>
      </c>
      <c r="I102" s="126" t="s">
        <v>1154</v>
      </c>
      <c r="J102" s="129" t="s">
        <v>950</v>
      </c>
      <c r="K102" s="124"/>
      <c r="L102" s="124" t="str">
        <f t="array" ref="L102">IFERROR(INDEX('Gerenciamento IH'!B:B,MATCH(A102,'Gerenciamento IH'!B:B,0)), "Não está")</f>
        <v>4174445115</v>
      </c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</row>
    <row r="103" hidden="1">
      <c r="A103" s="126" t="s">
        <v>41</v>
      </c>
      <c r="B103" s="127"/>
      <c r="C103" s="127"/>
      <c r="D103" s="129">
        <v>4.174866947E9</v>
      </c>
      <c r="E103" s="130">
        <v>46204.0</v>
      </c>
      <c r="F103" s="129" t="s">
        <v>906</v>
      </c>
      <c r="G103" s="129" t="s">
        <v>979</v>
      </c>
      <c r="H103" s="129" t="s">
        <v>1155</v>
      </c>
      <c r="I103" s="126" t="s">
        <v>1156</v>
      </c>
      <c r="J103" s="130">
        <v>46358.0</v>
      </c>
      <c r="K103" s="124"/>
      <c r="L103" s="124" t="str">
        <f t="array" ref="L103">IFERROR(INDEX('Gerenciamento IH'!B:B,MATCH(A103,'Gerenciamento IH'!B:B,0)), "Não está")</f>
        <v>4174866947</v>
      </c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</row>
    <row r="104" hidden="1">
      <c r="A104" s="126" t="s">
        <v>52</v>
      </c>
      <c r="B104" s="127"/>
      <c r="C104" s="127"/>
      <c r="D104" s="129">
        <v>4.174960583E9</v>
      </c>
      <c r="E104" s="129" t="s">
        <v>1157</v>
      </c>
      <c r="F104" s="129" t="s">
        <v>906</v>
      </c>
      <c r="G104" s="129" t="s">
        <v>1158</v>
      </c>
      <c r="H104" s="129" t="s">
        <v>1159</v>
      </c>
      <c r="I104" s="126" t="s">
        <v>1160</v>
      </c>
      <c r="J104" s="130">
        <v>46026.0</v>
      </c>
      <c r="K104" s="124"/>
      <c r="L104" s="124" t="str">
        <f t="array" ref="L104">IFERROR(INDEX('Gerenciamento IH'!B:B,MATCH(A104,'Gerenciamento IH'!B:B,0)), "Não está")</f>
        <v>4174960583</v>
      </c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</row>
    <row r="105" hidden="1">
      <c r="A105" s="126" t="s">
        <v>61</v>
      </c>
      <c r="B105" s="127"/>
      <c r="C105" s="127"/>
      <c r="D105" s="129">
        <v>4.175039234E9</v>
      </c>
      <c r="E105" s="129" t="s">
        <v>1161</v>
      </c>
      <c r="F105" s="129" t="s">
        <v>906</v>
      </c>
      <c r="G105" s="129" t="s">
        <v>937</v>
      </c>
      <c r="H105" s="129" t="s">
        <v>1162</v>
      </c>
      <c r="I105" s="126" t="s">
        <v>1163</v>
      </c>
      <c r="J105" s="129" t="s">
        <v>963</v>
      </c>
      <c r="K105" s="124"/>
      <c r="L105" s="124" t="str">
        <f t="array" ref="L105">IFERROR(INDEX('Gerenciamento IH'!B:B,MATCH(A105,'Gerenciamento IH'!B:B,0)), "Não está")</f>
        <v>4175039234</v>
      </c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</row>
    <row r="106" hidden="1">
      <c r="A106" s="126" t="s">
        <v>63</v>
      </c>
      <c r="B106" s="127"/>
      <c r="C106" s="127"/>
      <c r="D106" s="129">
        <v>4.175055471E9</v>
      </c>
      <c r="E106" s="129" t="s">
        <v>947</v>
      </c>
      <c r="F106" s="129" t="s">
        <v>906</v>
      </c>
      <c r="G106" s="129" t="s">
        <v>937</v>
      </c>
      <c r="H106" s="129" t="s">
        <v>1164</v>
      </c>
      <c r="I106" s="126" t="s">
        <v>1165</v>
      </c>
      <c r="J106" s="129" t="s">
        <v>933</v>
      </c>
      <c r="K106" s="124"/>
      <c r="L106" s="124" t="str">
        <f t="array" ref="L106">IFERROR(INDEX('Gerenciamento IH'!B:B,MATCH(A106,'Gerenciamento IH'!B:B,0)), "Não está")</f>
        <v>4175055471</v>
      </c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</row>
    <row r="107" hidden="1">
      <c r="A107" s="126" t="s">
        <v>67</v>
      </c>
      <c r="B107" s="127"/>
      <c r="C107" s="127"/>
      <c r="D107" s="129">
        <v>4.17505549E9</v>
      </c>
      <c r="E107" s="129" t="s">
        <v>947</v>
      </c>
      <c r="F107" s="129" t="s">
        <v>906</v>
      </c>
      <c r="G107" s="129" t="s">
        <v>934</v>
      </c>
      <c r="H107" s="129" t="s">
        <v>1166</v>
      </c>
      <c r="I107" s="126" t="s">
        <v>1167</v>
      </c>
      <c r="J107" s="130">
        <v>46146.0</v>
      </c>
      <c r="K107" s="124"/>
      <c r="L107" s="124" t="str">
        <f t="array" ref="L107">IFERROR(INDEX('Gerenciamento IH'!B:B,MATCH(A107,'Gerenciamento IH'!B:B,0)), "Não está")</f>
        <v>4175055490</v>
      </c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</row>
    <row r="108" hidden="1">
      <c r="A108" s="126" t="s">
        <v>72</v>
      </c>
      <c r="B108" s="127"/>
      <c r="C108" s="127"/>
      <c r="D108" s="129">
        <v>4.175069975E9</v>
      </c>
      <c r="E108" s="130">
        <v>46055.0</v>
      </c>
      <c r="F108" s="129" t="s">
        <v>906</v>
      </c>
      <c r="G108" s="129" t="s">
        <v>982</v>
      </c>
      <c r="H108" s="129" t="s">
        <v>1168</v>
      </c>
      <c r="I108" s="126" t="s">
        <v>509</v>
      </c>
      <c r="J108" s="129" t="s">
        <v>920</v>
      </c>
      <c r="K108" s="124"/>
      <c r="L108" s="124" t="str">
        <f t="array" ref="L108">IFERROR(INDEX('Gerenciamento IH'!B:B,MATCH(A108,'Gerenciamento IH'!B:B,0)), "Não está")</f>
        <v>4175069975</v>
      </c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</row>
    <row r="109" hidden="1">
      <c r="A109" s="126" t="s">
        <v>75</v>
      </c>
      <c r="B109" s="127"/>
      <c r="C109" s="127"/>
      <c r="D109" s="129">
        <v>4.175085235E9</v>
      </c>
      <c r="E109" s="130">
        <v>46114.0</v>
      </c>
      <c r="F109" s="129" t="s">
        <v>906</v>
      </c>
      <c r="G109" s="129" t="s">
        <v>1158</v>
      </c>
      <c r="H109" s="129" t="s">
        <v>1169</v>
      </c>
      <c r="I109" s="126" t="s">
        <v>1170</v>
      </c>
      <c r="J109" s="130">
        <v>46026.0</v>
      </c>
      <c r="K109" s="124"/>
      <c r="L109" s="124" t="str">
        <f t="array" ref="L109">IFERROR(INDEX('Gerenciamento IH'!B:B,MATCH(A109,'Gerenciamento IH'!B:B,0)), "Não está")</f>
        <v>4175085235</v>
      </c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</row>
    <row r="110" hidden="1">
      <c r="A110" s="126" t="s">
        <v>78</v>
      </c>
      <c r="B110" s="127"/>
      <c r="C110" s="127"/>
      <c r="D110" s="129">
        <v>4.17510054E9</v>
      </c>
      <c r="E110" s="130">
        <v>46144.0</v>
      </c>
      <c r="F110" s="129" t="s">
        <v>906</v>
      </c>
      <c r="G110" s="129" t="s">
        <v>937</v>
      </c>
      <c r="H110" s="129" t="s">
        <v>1171</v>
      </c>
      <c r="I110" s="126" t="s">
        <v>1172</v>
      </c>
      <c r="J110" s="129" t="s">
        <v>963</v>
      </c>
      <c r="K110" s="124"/>
      <c r="L110" s="124" t="str">
        <f t="array" ref="L110">IFERROR(INDEX('Gerenciamento IH'!B:B,MATCH(A110,'Gerenciamento IH'!B:B,0)), "Não está")</f>
        <v>4175100540</v>
      </c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</row>
    <row r="111" hidden="1">
      <c r="A111" s="126" t="s">
        <v>80</v>
      </c>
      <c r="B111" s="127"/>
      <c r="C111" s="127"/>
      <c r="D111" s="129">
        <v>4.175126082E9</v>
      </c>
      <c r="E111" s="130">
        <v>46267.0</v>
      </c>
      <c r="F111" s="129" t="s">
        <v>906</v>
      </c>
      <c r="G111" s="129" t="s">
        <v>1173</v>
      </c>
      <c r="H111" s="129" t="s">
        <v>1174</v>
      </c>
      <c r="I111" s="126" t="s">
        <v>1175</v>
      </c>
      <c r="J111" s="129" t="s">
        <v>920</v>
      </c>
      <c r="K111" s="124"/>
      <c r="L111" s="124" t="str">
        <f t="array" ref="L111">IFERROR(INDEX('Gerenciamento IH'!B:B,MATCH(A111,'Gerenciamento IH'!B:B,0)), "Não está")</f>
        <v>4175126082</v>
      </c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</row>
    <row r="112" hidden="1">
      <c r="A112" s="126" t="s">
        <v>82</v>
      </c>
      <c r="B112" s="127"/>
      <c r="C112" s="127"/>
      <c r="D112" s="129">
        <v>4.175139235E9</v>
      </c>
      <c r="E112" s="130">
        <v>46297.0</v>
      </c>
      <c r="F112" s="129" t="s">
        <v>906</v>
      </c>
      <c r="G112" s="129" t="s">
        <v>917</v>
      </c>
      <c r="H112" s="129" t="s">
        <v>1176</v>
      </c>
      <c r="I112" s="126" t="s">
        <v>1177</v>
      </c>
      <c r="J112" s="129" t="s">
        <v>973</v>
      </c>
      <c r="K112" s="124"/>
      <c r="L112" s="124" t="str">
        <f t="array" ref="L112">IFERROR(INDEX('Gerenciamento IH'!B:B,MATCH(A112,'Gerenciamento IH'!B:B,0)), "Não está")</f>
        <v>4175139235</v>
      </c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</row>
    <row r="113" hidden="1">
      <c r="A113" s="126" t="s">
        <v>124</v>
      </c>
      <c r="B113" s="127"/>
      <c r="C113" s="127"/>
      <c r="D113" s="129">
        <v>4.175143582E9</v>
      </c>
      <c r="E113" s="130">
        <v>46328.0</v>
      </c>
      <c r="F113" s="129" t="s">
        <v>906</v>
      </c>
      <c r="G113" s="129" t="s">
        <v>967</v>
      </c>
      <c r="H113" s="129" t="s">
        <v>908</v>
      </c>
      <c r="I113" s="126" t="s">
        <v>1178</v>
      </c>
      <c r="J113" s="129" t="s">
        <v>910</v>
      </c>
      <c r="K113" s="124"/>
      <c r="L113" s="124" t="str">
        <f t="array" ref="L113">IFERROR(INDEX('Gerenciamento IH'!B:B,MATCH(A113,'Gerenciamento IH'!B:B,0)), "Não está")</f>
        <v>4175143582</v>
      </c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</row>
    <row r="114" hidden="1">
      <c r="A114" s="126" t="s">
        <v>125</v>
      </c>
      <c r="B114" s="127"/>
      <c r="C114" s="127"/>
      <c r="D114" s="129">
        <v>4.175143887E9</v>
      </c>
      <c r="E114" s="130">
        <v>46328.0</v>
      </c>
      <c r="F114" s="129" t="s">
        <v>906</v>
      </c>
      <c r="G114" s="129" t="s">
        <v>967</v>
      </c>
      <c r="H114" s="129" t="s">
        <v>908</v>
      </c>
      <c r="I114" s="126" t="s">
        <v>1179</v>
      </c>
      <c r="J114" s="129" t="s">
        <v>910</v>
      </c>
      <c r="K114" s="124"/>
      <c r="L114" s="124" t="str">
        <f t="array" ref="L114">IFERROR(INDEX('Gerenciamento IH'!B:B,MATCH(A114,'Gerenciamento IH'!B:B,0)), "Não está")</f>
        <v>4175143887</v>
      </c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</row>
    <row r="115" hidden="1">
      <c r="A115" s="126" t="s">
        <v>126</v>
      </c>
      <c r="B115" s="127"/>
      <c r="C115" s="127"/>
      <c r="D115" s="129">
        <v>4.175146382E9</v>
      </c>
      <c r="E115" s="130">
        <v>46328.0</v>
      </c>
      <c r="F115" s="129" t="s">
        <v>906</v>
      </c>
      <c r="G115" s="129" t="s">
        <v>957</v>
      </c>
      <c r="H115" s="129" t="s">
        <v>908</v>
      </c>
      <c r="I115" s="126" t="s">
        <v>1180</v>
      </c>
      <c r="J115" s="129" t="s">
        <v>910</v>
      </c>
      <c r="K115" s="124"/>
      <c r="L115" s="124" t="str">
        <f t="array" ref="L115">IFERROR(INDEX('Gerenciamento IH'!B:B,MATCH(A115,'Gerenciamento IH'!B:B,0)), "Não está")</f>
        <v>4175146382</v>
      </c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</row>
    <row r="116" hidden="1">
      <c r="A116" s="126" t="s">
        <v>127</v>
      </c>
      <c r="B116" s="127"/>
      <c r="C116" s="127"/>
      <c r="D116" s="129">
        <v>4.175147361E9</v>
      </c>
      <c r="E116" s="130">
        <v>46328.0</v>
      </c>
      <c r="F116" s="129" t="s">
        <v>906</v>
      </c>
      <c r="G116" s="129" t="s">
        <v>960</v>
      </c>
      <c r="H116" s="129" t="s">
        <v>908</v>
      </c>
      <c r="I116" s="126" t="s">
        <v>1181</v>
      </c>
      <c r="J116" s="129" t="s">
        <v>910</v>
      </c>
      <c r="K116" s="124"/>
      <c r="L116" s="124" t="str">
        <f t="array" ref="L116">IFERROR(INDEX('Gerenciamento IH'!B:B,MATCH(A116,'Gerenciamento IH'!B:B,0)), "Não está")</f>
        <v>4175147361</v>
      </c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</row>
    <row r="117" hidden="1">
      <c r="A117" s="126" t="s">
        <v>128</v>
      </c>
      <c r="B117" s="127"/>
      <c r="C117" s="127"/>
      <c r="D117" s="129">
        <v>4.175147646E9</v>
      </c>
      <c r="E117" s="130">
        <v>46328.0</v>
      </c>
      <c r="F117" s="129" t="s">
        <v>906</v>
      </c>
      <c r="G117" s="129" t="s">
        <v>1042</v>
      </c>
      <c r="H117" s="129" t="s">
        <v>908</v>
      </c>
      <c r="I117" s="126" t="s">
        <v>1182</v>
      </c>
      <c r="J117" s="129" t="s">
        <v>950</v>
      </c>
      <c r="K117" s="124"/>
      <c r="L117" s="124" t="str">
        <f t="array" ref="L117">IFERROR(INDEX('Gerenciamento IH'!B:B,MATCH(A117,'Gerenciamento IH'!B:B,0)), "Não está")</f>
        <v>4175147646</v>
      </c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</row>
    <row r="118" hidden="1">
      <c r="A118" s="126" t="s">
        <v>129</v>
      </c>
      <c r="B118" s="127"/>
      <c r="C118" s="127"/>
      <c r="D118" s="129">
        <v>4.175147701E9</v>
      </c>
      <c r="E118" s="130">
        <v>46328.0</v>
      </c>
      <c r="F118" s="129" t="s">
        <v>906</v>
      </c>
      <c r="G118" s="129" t="s">
        <v>1001</v>
      </c>
      <c r="H118" s="129" t="s">
        <v>908</v>
      </c>
      <c r="I118" s="126" t="s">
        <v>1183</v>
      </c>
      <c r="J118" s="129" t="s">
        <v>910</v>
      </c>
      <c r="K118" s="124"/>
      <c r="L118" s="124" t="str">
        <f t="array" ref="L118">IFERROR(INDEX('Gerenciamento IH'!B:B,MATCH(A118,'Gerenciamento IH'!B:B,0)), "Não está")</f>
        <v>4175147701</v>
      </c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</row>
    <row r="119" hidden="1">
      <c r="A119" s="126" t="s">
        <v>130</v>
      </c>
      <c r="B119" s="127"/>
      <c r="C119" s="127"/>
      <c r="D119" s="129">
        <v>4.175147924E9</v>
      </c>
      <c r="E119" s="130">
        <v>46328.0</v>
      </c>
      <c r="F119" s="129" t="s">
        <v>906</v>
      </c>
      <c r="G119" s="129" t="s">
        <v>967</v>
      </c>
      <c r="H119" s="129" t="s">
        <v>908</v>
      </c>
      <c r="I119" s="126" t="s">
        <v>1184</v>
      </c>
      <c r="J119" s="129" t="s">
        <v>910</v>
      </c>
      <c r="K119" s="124"/>
      <c r="L119" s="124" t="str">
        <f t="array" ref="L119">IFERROR(INDEX('Gerenciamento IH'!B:B,MATCH(A119,'Gerenciamento IH'!B:B,0)), "Não está")</f>
        <v>4175147924</v>
      </c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</row>
    <row r="120" hidden="1">
      <c r="A120" s="126" t="s">
        <v>131</v>
      </c>
      <c r="B120" s="127"/>
      <c r="C120" s="127"/>
      <c r="D120" s="129">
        <v>4.175149174E9</v>
      </c>
      <c r="E120" s="130">
        <v>46328.0</v>
      </c>
      <c r="F120" s="129" t="s">
        <v>906</v>
      </c>
      <c r="G120" s="129" t="s">
        <v>1173</v>
      </c>
      <c r="H120" s="129" t="s">
        <v>908</v>
      </c>
      <c r="I120" s="126" t="s">
        <v>1185</v>
      </c>
      <c r="J120" s="129" t="s">
        <v>950</v>
      </c>
      <c r="K120" s="124"/>
      <c r="L120" s="124" t="str">
        <f t="array" ref="L120">IFERROR(INDEX('Gerenciamento IH'!B:B,MATCH(A120,'Gerenciamento IH'!B:B,0)), "Não está")</f>
        <v>4175149174</v>
      </c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</row>
    <row r="121" hidden="1">
      <c r="A121" s="126" t="s">
        <v>132</v>
      </c>
      <c r="B121" s="127"/>
      <c r="C121" s="127"/>
      <c r="D121" s="129">
        <v>4.175153991E9</v>
      </c>
      <c r="E121" s="130">
        <v>46358.0</v>
      </c>
      <c r="F121" s="129" t="s">
        <v>906</v>
      </c>
      <c r="G121" s="129" t="s">
        <v>915</v>
      </c>
      <c r="H121" s="129" t="s">
        <v>908</v>
      </c>
      <c r="I121" s="126" t="s">
        <v>1186</v>
      </c>
      <c r="J121" s="129" t="s">
        <v>950</v>
      </c>
      <c r="K121" s="124"/>
      <c r="L121" s="124" t="str">
        <f t="array" ref="L121">IFERROR(INDEX('Gerenciamento IH'!B:B,MATCH(A121,'Gerenciamento IH'!B:B,0)), "Não está")</f>
        <v>4175153991</v>
      </c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</row>
    <row r="122" hidden="1">
      <c r="A122" s="126" t="s">
        <v>133</v>
      </c>
      <c r="B122" s="127"/>
      <c r="C122" s="127"/>
      <c r="D122" s="129">
        <v>4.175154768E9</v>
      </c>
      <c r="E122" s="130">
        <v>46358.0</v>
      </c>
      <c r="F122" s="129" t="s">
        <v>906</v>
      </c>
      <c r="G122" s="129" t="s">
        <v>937</v>
      </c>
      <c r="H122" s="129" t="s">
        <v>908</v>
      </c>
      <c r="I122" s="126" t="s">
        <v>1187</v>
      </c>
      <c r="J122" s="129" t="s">
        <v>950</v>
      </c>
      <c r="K122" s="124"/>
      <c r="L122" s="124" t="str">
        <f t="array" ref="L122">IFERROR(INDEX('Gerenciamento IH'!B:B,MATCH(A122,'Gerenciamento IH'!B:B,0)), "Não está")</f>
        <v>4175154768</v>
      </c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</row>
    <row r="123" hidden="1">
      <c r="A123" s="126" t="s">
        <v>134</v>
      </c>
      <c r="B123" s="127"/>
      <c r="C123" s="127"/>
      <c r="D123" s="129">
        <v>4.175155699E9</v>
      </c>
      <c r="E123" s="130">
        <v>46358.0</v>
      </c>
      <c r="F123" s="129" t="s">
        <v>906</v>
      </c>
      <c r="G123" s="129" t="s">
        <v>1042</v>
      </c>
      <c r="H123" s="129" t="s">
        <v>908</v>
      </c>
      <c r="I123" s="126" t="s">
        <v>1188</v>
      </c>
      <c r="J123" s="129" t="s">
        <v>950</v>
      </c>
      <c r="K123" s="124"/>
      <c r="L123" s="124" t="str">
        <f t="array" ref="L123">IFERROR(INDEX('Gerenciamento IH'!B:B,MATCH(A123,'Gerenciamento IH'!B:B,0)), "Não está")</f>
        <v>4175155699</v>
      </c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</row>
    <row r="124" hidden="1">
      <c r="A124" s="126" t="s">
        <v>139</v>
      </c>
      <c r="B124" s="127"/>
      <c r="C124" s="127"/>
      <c r="D124" s="129">
        <v>4.175157475E9</v>
      </c>
      <c r="E124" s="130">
        <v>46358.0</v>
      </c>
      <c r="F124" s="129" t="s">
        <v>906</v>
      </c>
      <c r="G124" s="129" t="s">
        <v>1189</v>
      </c>
      <c r="H124" s="129" t="s">
        <v>908</v>
      </c>
      <c r="I124" s="126" t="s">
        <v>1190</v>
      </c>
      <c r="J124" s="129" t="s">
        <v>910</v>
      </c>
      <c r="K124" s="124"/>
      <c r="L124" s="124" t="str">
        <f t="array" ref="L124">IFERROR(INDEX('Gerenciamento IH'!B:B,MATCH(A124,'Gerenciamento IH'!B:B,0)), "Não está")</f>
        <v>4175157475</v>
      </c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</row>
    <row r="125" hidden="1">
      <c r="A125" s="126" t="s">
        <v>140</v>
      </c>
      <c r="B125" s="127"/>
      <c r="C125" s="127"/>
      <c r="D125" s="129">
        <v>4.175163059E9</v>
      </c>
      <c r="E125" s="129" t="s">
        <v>987</v>
      </c>
      <c r="F125" s="129" t="s">
        <v>906</v>
      </c>
      <c r="G125" s="129" t="s">
        <v>970</v>
      </c>
      <c r="H125" s="129" t="s">
        <v>1191</v>
      </c>
      <c r="I125" s="126" t="s">
        <v>1192</v>
      </c>
      <c r="J125" s="129" t="s">
        <v>910</v>
      </c>
      <c r="K125" s="124"/>
      <c r="L125" s="124" t="str">
        <f t="array" ref="L125">IFERROR(INDEX('Gerenciamento IH'!B:B,MATCH(A125,'Gerenciamento IH'!B:B,0)), "Não está")</f>
        <v>4175163059</v>
      </c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</row>
    <row r="126" hidden="1">
      <c r="A126" s="126" t="s">
        <v>141</v>
      </c>
      <c r="B126" s="127"/>
      <c r="C126" s="127"/>
      <c r="D126" s="129">
        <v>4.175163984E9</v>
      </c>
      <c r="E126" s="129" t="s">
        <v>987</v>
      </c>
      <c r="F126" s="129" t="s">
        <v>906</v>
      </c>
      <c r="G126" s="129" t="s">
        <v>967</v>
      </c>
      <c r="H126" s="129" t="s">
        <v>908</v>
      </c>
      <c r="I126" s="126" t="s">
        <v>1193</v>
      </c>
      <c r="J126" s="129" t="s">
        <v>950</v>
      </c>
      <c r="K126" s="124"/>
      <c r="L126" s="124" t="str">
        <f t="array" ref="L126">IFERROR(INDEX('Gerenciamento IH'!B:B,MATCH(A126,'Gerenciamento IH'!B:B,0)), "Não está")</f>
        <v>4175163984</v>
      </c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</row>
    <row r="127" hidden="1">
      <c r="A127" s="126" t="s">
        <v>92</v>
      </c>
      <c r="B127" s="127"/>
      <c r="C127" s="127"/>
      <c r="D127" s="129">
        <v>4.175199037E9</v>
      </c>
      <c r="E127" s="129" t="s">
        <v>989</v>
      </c>
      <c r="F127" s="129" t="s">
        <v>906</v>
      </c>
      <c r="G127" s="129" t="s">
        <v>1063</v>
      </c>
      <c r="H127" s="129" t="s">
        <v>1194</v>
      </c>
      <c r="I127" s="126" t="s">
        <v>1195</v>
      </c>
      <c r="J127" s="129" t="s">
        <v>950</v>
      </c>
      <c r="K127" s="124"/>
      <c r="L127" s="124" t="str">
        <f t="array" ref="L127">IFERROR(INDEX('Gerenciamento IH'!B:B,MATCH(A127,'Gerenciamento IH'!B:B,0)), "Não está")</f>
        <v>4175199037</v>
      </c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</row>
    <row r="128" hidden="1">
      <c r="A128" s="126" t="s">
        <v>96</v>
      </c>
      <c r="B128" s="127"/>
      <c r="C128" s="127"/>
      <c r="D128" s="129">
        <v>4.175213137E9</v>
      </c>
      <c r="E128" s="129" t="s">
        <v>992</v>
      </c>
      <c r="F128" s="129" t="s">
        <v>906</v>
      </c>
      <c r="G128" s="129" t="s">
        <v>1033</v>
      </c>
      <c r="H128" s="129" t="s">
        <v>1196</v>
      </c>
      <c r="I128" s="126" t="s">
        <v>1145</v>
      </c>
      <c r="J128" s="130">
        <v>46238.0</v>
      </c>
      <c r="K128" s="124"/>
      <c r="L128" s="124" t="str">
        <f t="array" ref="L128">IFERROR(INDEX('Gerenciamento IH'!B:B,MATCH(A128,'Gerenciamento IH'!B:B,0)), "Não está")</f>
        <v>4175213137</v>
      </c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</row>
    <row r="129" hidden="1">
      <c r="A129" s="126" t="s">
        <v>143</v>
      </c>
      <c r="B129" s="127"/>
      <c r="C129" s="127"/>
      <c r="D129" s="129">
        <v>4.175219421E9</v>
      </c>
      <c r="E129" s="129" t="s">
        <v>1197</v>
      </c>
      <c r="F129" s="129" t="s">
        <v>906</v>
      </c>
      <c r="G129" s="129" t="s">
        <v>1198</v>
      </c>
      <c r="H129" s="129" t="s">
        <v>908</v>
      </c>
      <c r="I129" s="126" t="s">
        <v>1199</v>
      </c>
      <c r="J129" s="129" t="s">
        <v>910</v>
      </c>
      <c r="K129" s="124"/>
      <c r="L129" s="124" t="str">
        <f t="array" ref="L129">IFERROR(INDEX('Gerenciamento IH'!B:B,MATCH(A129,'Gerenciamento IH'!B:B,0)), "Não está")</f>
        <v>4175219421</v>
      </c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</row>
    <row r="130" hidden="1">
      <c r="A130" s="126" t="s">
        <v>98</v>
      </c>
      <c r="B130" s="127"/>
      <c r="C130" s="127"/>
      <c r="D130" s="129">
        <v>4.175226721E9</v>
      </c>
      <c r="E130" s="129" t="s">
        <v>1197</v>
      </c>
      <c r="F130" s="129" t="s">
        <v>906</v>
      </c>
      <c r="G130" s="129" t="s">
        <v>1124</v>
      </c>
      <c r="H130" s="129" t="s">
        <v>1200</v>
      </c>
      <c r="I130" s="126" t="s">
        <v>1201</v>
      </c>
      <c r="J130" s="129" t="s">
        <v>950</v>
      </c>
      <c r="K130" s="124"/>
      <c r="L130" s="124" t="str">
        <f t="array" ref="L130">IFERROR(INDEX('Gerenciamento IH'!B:B,MATCH(A130,'Gerenciamento IH'!B:B,0)), "Não está")</f>
        <v>4175226721</v>
      </c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</row>
    <row r="131" hidden="1">
      <c r="A131" s="126" t="s">
        <v>100</v>
      </c>
      <c r="B131" s="127"/>
      <c r="C131" s="127"/>
      <c r="D131" s="129">
        <v>4.175226777E9</v>
      </c>
      <c r="E131" s="129" t="s">
        <v>1197</v>
      </c>
      <c r="F131" s="129" t="s">
        <v>906</v>
      </c>
      <c r="G131" s="129" t="s">
        <v>1110</v>
      </c>
      <c r="H131" s="129" t="s">
        <v>1202</v>
      </c>
      <c r="I131" s="126" t="s">
        <v>1203</v>
      </c>
      <c r="J131" s="129" t="s">
        <v>950</v>
      </c>
      <c r="K131" s="124"/>
      <c r="L131" s="124" t="str">
        <f t="array" ref="L131">IFERROR(INDEX('Gerenciamento IH'!B:B,MATCH(A131,'Gerenciamento IH'!B:B,0)), "Não está")</f>
        <v>4175226777</v>
      </c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</row>
    <row r="132" hidden="1">
      <c r="A132" s="126" t="s">
        <v>144</v>
      </c>
      <c r="B132" s="127"/>
      <c r="C132" s="127"/>
      <c r="D132" s="129">
        <v>4.175233047E9</v>
      </c>
      <c r="E132" s="129" t="s">
        <v>1204</v>
      </c>
      <c r="F132" s="129" t="s">
        <v>906</v>
      </c>
      <c r="G132" s="129" t="s">
        <v>1033</v>
      </c>
      <c r="H132" s="129" t="s">
        <v>1205</v>
      </c>
      <c r="I132" s="126" t="s">
        <v>1206</v>
      </c>
      <c r="J132" s="130">
        <v>46057.0</v>
      </c>
      <c r="K132" s="124"/>
      <c r="L132" s="124" t="str">
        <f t="array" ref="L132">IFERROR(INDEX('Gerenciamento IH'!B:B,MATCH(A132,'Gerenciamento IH'!B:B,0)), "Não está")</f>
        <v>4175233047</v>
      </c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</row>
    <row r="133" hidden="1">
      <c r="A133" s="126" t="s">
        <v>146</v>
      </c>
      <c r="B133" s="127"/>
      <c r="C133" s="127"/>
      <c r="D133" s="129">
        <v>4.175237236E9</v>
      </c>
      <c r="E133" s="129" t="s">
        <v>1204</v>
      </c>
      <c r="F133" s="129" t="s">
        <v>906</v>
      </c>
      <c r="G133" s="129" t="s">
        <v>1207</v>
      </c>
      <c r="H133" s="129" t="s">
        <v>908</v>
      </c>
      <c r="I133" s="126" t="s">
        <v>1208</v>
      </c>
      <c r="J133" s="129" t="s">
        <v>910</v>
      </c>
      <c r="K133" s="124"/>
      <c r="L133" s="124" t="str">
        <f t="array" ref="L133">IFERROR(INDEX('Gerenciamento IH'!B:B,MATCH(A133,'Gerenciamento IH'!B:B,0)), "Não está")</f>
        <v>4175237236</v>
      </c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</row>
    <row r="134" hidden="1">
      <c r="A134" s="126" t="s">
        <v>147</v>
      </c>
      <c r="B134" s="127"/>
      <c r="C134" s="127"/>
      <c r="D134" s="129">
        <v>4.175250535E9</v>
      </c>
      <c r="E134" s="129" t="s">
        <v>995</v>
      </c>
      <c r="F134" s="129" t="s">
        <v>906</v>
      </c>
      <c r="G134" s="129" t="s">
        <v>967</v>
      </c>
      <c r="H134" s="129" t="s">
        <v>908</v>
      </c>
      <c r="I134" s="126" t="s">
        <v>1209</v>
      </c>
      <c r="J134" s="129" t="s">
        <v>910</v>
      </c>
      <c r="K134" s="124"/>
      <c r="L134" s="124" t="str">
        <f t="array" ref="L134">IFERROR(INDEX('Gerenciamento IH'!B:B,MATCH(A134,'Gerenciamento IH'!B:B,0)), "Não está")</f>
        <v>4175250535</v>
      </c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</row>
    <row r="135" hidden="1">
      <c r="A135" s="126" t="s">
        <v>102</v>
      </c>
      <c r="B135" s="127"/>
      <c r="C135" s="127"/>
      <c r="D135" s="129">
        <v>4.17525395E9</v>
      </c>
      <c r="E135" s="129" t="s">
        <v>995</v>
      </c>
      <c r="F135" s="129" t="s">
        <v>906</v>
      </c>
      <c r="G135" s="129" t="s">
        <v>934</v>
      </c>
      <c r="H135" s="129" t="s">
        <v>1210</v>
      </c>
      <c r="I135" s="126" t="s">
        <v>1211</v>
      </c>
      <c r="J135" s="129" t="s">
        <v>914</v>
      </c>
      <c r="K135" s="124"/>
      <c r="L135" s="124" t="str">
        <f t="array" ref="L135">IFERROR(INDEX('Gerenciamento IH'!B:B,MATCH(A135,'Gerenciamento IH'!B:B,0)), "Não está")</f>
        <v>4175253950</v>
      </c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</row>
    <row r="136" hidden="1">
      <c r="A136" s="126" t="s">
        <v>137</v>
      </c>
      <c r="B136" s="127"/>
      <c r="C136" s="127"/>
      <c r="D136" s="129">
        <v>4.175255208E9</v>
      </c>
      <c r="E136" s="129" t="s">
        <v>995</v>
      </c>
      <c r="F136" s="129" t="s">
        <v>906</v>
      </c>
      <c r="G136" s="129" t="s">
        <v>982</v>
      </c>
      <c r="H136" s="129" t="s">
        <v>908</v>
      </c>
      <c r="I136" s="126" t="s">
        <v>983</v>
      </c>
      <c r="J136" s="129" t="s">
        <v>914</v>
      </c>
      <c r="K136" s="124"/>
      <c r="L136" s="124" t="str">
        <f t="array" ref="L136">IFERROR(INDEX('Gerenciamento IH'!B:B,MATCH(A136,'Gerenciamento IH'!B:B,0)), "Não está")</f>
        <v>4175255208</v>
      </c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</row>
    <row r="137" hidden="1">
      <c r="A137" s="126" t="s">
        <v>148</v>
      </c>
      <c r="B137" s="127"/>
      <c r="C137" s="127"/>
      <c r="D137" s="129">
        <v>4.175255808E9</v>
      </c>
      <c r="E137" s="129" t="s">
        <v>995</v>
      </c>
      <c r="F137" s="129" t="s">
        <v>906</v>
      </c>
      <c r="G137" s="129" t="s">
        <v>937</v>
      </c>
      <c r="H137" s="129" t="s">
        <v>1212</v>
      </c>
      <c r="I137" s="126" t="s">
        <v>1213</v>
      </c>
      <c r="J137" s="129" t="s">
        <v>910</v>
      </c>
      <c r="K137" s="124"/>
      <c r="L137" s="124" t="str">
        <f t="array" ref="L137">IFERROR(INDEX('Gerenciamento IH'!B:B,MATCH(A137,'Gerenciamento IH'!B:B,0)), "Não está")</f>
        <v>4175255808</v>
      </c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</row>
    <row r="138" hidden="1">
      <c r="A138" s="126" t="s">
        <v>104</v>
      </c>
      <c r="B138" s="127"/>
      <c r="C138" s="127"/>
      <c r="D138" s="129">
        <v>4.175256393E9</v>
      </c>
      <c r="E138" s="129" t="s">
        <v>995</v>
      </c>
      <c r="F138" s="129" t="s">
        <v>906</v>
      </c>
      <c r="G138" s="129" t="s">
        <v>1214</v>
      </c>
      <c r="H138" s="129" t="s">
        <v>1215</v>
      </c>
      <c r="I138" s="126" t="s">
        <v>1216</v>
      </c>
      <c r="J138" s="130">
        <v>46238.0</v>
      </c>
      <c r="K138" s="124"/>
      <c r="L138" s="124" t="str">
        <f t="array" ref="L138">IFERROR(INDEX('Gerenciamento IH'!B:B,MATCH(A138,'Gerenciamento IH'!B:B,0)), "Não está")</f>
        <v>4175256393</v>
      </c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</row>
    <row r="139" hidden="1">
      <c r="A139" s="126" t="s">
        <v>105</v>
      </c>
      <c r="B139" s="127"/>
      <c r="C139" s="127"/>
      <c r="D139" s="129">
        <v>4.175256983E9</v>
      </c>
      <c r="E139" s="129" t="s">
        <v>995</v>
      </c>
      <c r="F139" s="129" t="s">
        <v>906</v>
      </c>
      <c r="G139" s="129" t="s">
        <v>1001</v>
      </c>
      <c r="H139" s="129" t="s">
        <v>1217</v>
      </c>
      <c r="I139" s="126" t="s">
        <v>1218</v>
      </c>
      <c r="J139" s="129" t="s">
        <v>966</v>
      </c>
      <c r="K139" s="124"/>
      <c r="L139" s="124" t="str">
        <f t="array" ref="L139">IFERROR(INDEX('Gerenciamento IH'!B:B,MATCH(A139,'Gerenciamento IH'!B:B,0)), "Não está")</f>
        <v>4175256983</v>
      </c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</row>
    <row r="140" hidden="1">
      <c r="A140" s="126" t="s">
        <v>106</v>
      </c>
      <c r="B140" s="127"/>
      <c r="C140" s="127"/>
      <c r="D140" s="129">
        <v>4.175282662E9</v>
      </c>
      <c r="E140" s="130">
        <v>46084.0</v>
      </c>
      <c r="F140" s="129" t="s">
        <v>906</v>
      </c>
      <c r="G140" s="129" t="s">
        <v>1110</v>
      </c>
      <c r="H140" s="129" t="s">
        <v>908</v>
      </c>
      <c r="I140" s="126" t="s">
        <v>1219</v>
      </c>
      <c r="J140" s="130">
        <v>46145.0</v>
      </c>
      <c r="K140" s="124"/>
      <c r="L140" s="124" t="str">
        <f t="array" ref="L140">IFERROR(INDEX('Gerenciamento IH'!B:B,MATCH(A140,'Gerenciamento IH'!B:B,0)), "Não está")</f>
        <v>4175282662</v>
      </c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</row>
    <row r="141" hidden="1">
      <c r="A141" s="126" t="s">
        <v>115</v>
      </c>
      <c r="B141" s="127"/>
      <c r="C141" s="127"/>
      <c r="D141" s="129">
        <v>4.175286024E9</v>
      </c>
      <c r="E141" s="130">
        <v>46084.0</v>
      </c>
      <c r="F141" s="129" t="s">
        <v>906</v>
      </c>
      <c r="G141" s="129" t="s">
        <v>1042</v>
      </c>
      <c r="H141" s="129" t="s">
        <v>1220</v>
      </c>
      <c r="I141" s="126" t="s">
        <v>1221</v>
      </c>
      <c r="J141" s="129" t="s">
        <v>914</v>
      </c>
      <c r="K141" s="124"/>
      <c r="L141" s="124" t="str">
        <f t="array" ref="L141">IFERROR(INDEX('Gerenciamento IH'!B:B,MATCH(A141,'Gerenciamento IH'!B:B,0)), "Não está")</f>
        <v>4175286024</v>
      </c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</row>
    <row r="142" hidden="1">
      <c r="A142" s="126" t="s">
        <v>118</v>
      </c>
      <c r="B142" s="127"/>
      <c r="C142" s="127"/>
      <c r="D142" s="129">
        <v>4.175286182E9</v>
      </c>
      <c r="E142" s="130">
        <v>46084.0</v>
      </c>
      <c r="F142" s="129" t="s">
        <v>906</v>
      </c>
      <c r="G142" s="129" t="s">
        <v>970</v>
      </c>
      <c r="H142" s="129" t="s">
        <v>1222</v>
      </c>
      <c r="I142" s="126" t="s">
        <v>1223</v>
      </c>
      <c r="J142" s="129" t="s">
        <v>950</v>
      </c>
      <c r="K142" s="124"/>
      <c r="L142" s="124" t="str">
        <f t="array" ref="L142">IFERROR(INDEX('Gerenciamento IH'!B:B,MATCH(A142,'Gerenciamento IH'!B:B,0)), "Não está")</f>
        <v>4175286182</v>
      </c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</row>
    <row r="143" hidden="1">
      <c r="A143" s="126" t="s">
        <v>163</v>
      </c>
      <c r="B143" s="127"/>
      <c r="C143" s="127"/>
      <c r="D143" s="129">
        <v>4.175311294E9</v>
      </c>
      <c r="E143" s="130">
        <v>46176.0</v>
      </c>
      <c r="F143" s="129" t="s">
        <v>906</v>
      </c>
      <c r="G143" s="129" t="s">
        <v>1082</v>
      </c>
      <c r="H143" s="129" t="s">
        <v>1224</v>
      </c>
      <c r="I143" s="126" t="s">
        <v>1225</v>
      </c>
      <c r="J143" s="129" t="s">
        <v>1148</v>
      </c>
      <c r="K143" s="124"/>
      <c r="L143" s="124" t="str">
        <f t="array" ref="L143">IFERROR(INDEX('Gerenciamento IH'!B:B,MATCH(A143,'Gerenciamento IH'!B:B,0)), "Não está")</f>
        <v>4175311294</v>
      </c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</row>
    <row r="144" hidden="1">
      <c r="A144" s="126" t="s">
        <v>164</v>
      </c>
      <c r="B144" s="127"/>
      <c r="C144" s="127"/>
      <c r="D144" s="129">
        <v>4.17531254E9</v>
      </c>
      <c r="E144" s="130">
        <v>46176.0</v>
      </c>
      <c r="F144" s="129" t="s">
        <v>906</v>
      </c>
      <c r="G144" s="129" t="s">
        <v>1173</v>
      </c>
      <c r="H144" s="129" t="s">
        <v>1226</v>
      </c>
      <c r="I144" s="126" t="s">
        <v>1227</v>
      </c>
      <c r="J144" s="129" t="s">
        <v>963</v>
      </c>
      <c r="K144" s="124"/>
      <c r="L144" s="124" t="str">
        <f t="array" ref="L144">IFERROR(INDEX('Gerenciamento IH'!B:B,MATCH(A144,'Gerenciamento IH'!B:B,0)), "Não está")</f>
        <v>4175312540</v>
      </c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</row>
    <row r="145" hidden="1">
      <c r="A145" s="126" t="s">
        <v>170</v>
      </c>
      <c r="B145" s="127"/>
      <c r="C145" s="127"/>
      <c r="D145" s="129">
        <v>4.175338569E9</v>
      </c>
      <c r="E145" s="130">
        <v>46298.0</v>
      </c>
      <c r="F145" s="129" t="s">
        <v>906</v>
      </c>
      <c r="G145" s="129" t="s">
        <v>1001</v>
      </c>
      <c r="H145" s="129" t="s">
        <v>1228</v>
      </c>
      <c r="I145" s="126" t="s">
        <v>1229</v>
      </c>
      <c r="J145" s="130">
        <v>46299.0</v>
      </c>
      <c r="K145" s="124"/>
      <c r="L145" s="124" t="str">
        <f t="array" ref="L145">IFERROR(INDEX('Gerenciamento IH'!B:B,MATCH(A145,'Gerenciamento IH'!B:B,0)), "Não está")</f>
        <v>4175338569</v>
      </c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</row>
    <row r="146" hidden="1">
      <c r="A146" s="126" t="s">
        <v>171</v>
      </c>
      <c r="B146" s="127"/>
      <c r="C146" s="127"/>
      <c r="D146" s="129">
        <v>4.175342311E9</v>
      </c>
      <c r="E146" s="130">
        <v>46298.0</v>
      </c>
      <c r="F146" s="129" t="s">
        <v>906</v>
      </c>
      <c r="G146" s="129" t="s">
        <v>967</v>
      </c>
      <c r="H146" s="129" t="s">
        <v>1230</v>
      </c>
      <c r="I146" s="126" t="s">
        <v>1231</v>
      </c>
      <c r="J146" s="129" t="s">
        <v>914</v>
      </c>
      <c r="K146" s="124"/>
      <c r="L146" s="124" t="str">
        <f t="array" ref="L146">IFERROR(INDEX('Gerenciamento IH'!B:B,MATCH(A146,'Gerenciamento IH'!B:B,0)), "Não está")</f>
        <v>4175342311</v>
      </c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</row>
    <row r="147" hidden="1">
      <c r="A147" s="126" t="s">
        <v>174</v>
      </c>
      <c r="B147" s="127"/>
      <c r="C147" s="127"/>
      <c r="D147" s="129">
        <v>4.17534717E9</v>
      </c>
      <c r="E147" s="130">
        <v>46329.0</v>
      </c>
      <c r="F147" s="129" t="s">
        <v>906</v>
      </c>
      <c r="G147" s="129" t="s">
        <v>1001</v>
      </c>
      <c r="H147" s="129" t="s">
        <v>1232</v>
      </c>
      <c r="I147" s="126" t="s">
        <v>1233</v>
      </c>
      <c r="J147" s="129" t="s">
        <v>963</v>
      </c>
      <c r="K147" s="124"/>
      <c r="L147" s="124" t="str">
        <f t="array" ref="L147">IFERROR(INDEX('Gerenciamento IH'!B:B,MATCH(A147,'Gerenciamento IH'!B:B,0)), "Não está")</f>
        <v>4175347170</v>
      </c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</row>
    <row r="148" hidden="1">
      <c r="A148" s="126" t="s">
        <v>187</v>
      </c>
      <c r="B148" s="127"/>
      <c r="C148" s="127"/>
      <c r="D148" s="129">
        <v>4.17536022E9</v>
      </c>
      <c r="E148" s="130">
        <v>46359.0</v>
      </c>
      <c r="F148" s="129" t="s">
        <v>906</v>
      </c>
      <c r="G148" s="129" t="s">
        <v>982</v>
      </c>
      <c r="H148" s="129" t="s">
        <v>1234</v>
      </c>
      <c r="I148" s="126" t="s">
        <v>1235</v>
      </c>
      <c r="J148" s="129" t="s">
        <v>1092</v>
      </c>
      <c r="K148" s="124"/>
      <c r="L148" s="124" t="str">
        <f t="array" ref="L148">IFERROR(INDEX('Gerenciamento IH'!B:B,MATCH(A148,'Gerenciamento IH'!B:B,0)), "Não está")</f>
        <v>4175360220</v>
      </c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</row>
    <row r="149" hidden="1">
      <c r="A149" s="126" t="s">
        <v>195</v>
      </c>
      <c r="B149" s="127"/>
      <c r="C149" s="127"/>
      <c r="D149" s="129">
        <v>4.175368881E9</v>
      </c>
      <c r="E149" s="129" t="s">
        <v>1081</v>
      </c>
      <c r="F149" s="129" t="s">
        <v>906</v>
      </c>
      <c r="G149" s="129" t="s">
        <v>1236</v>
      </c>
      <c r="H149" s="129" t="s">
        <v>1237</v>
      </c>
      <c r="I149" s="126" t="s">
        <v>1238</v>
      </c>
      <c r="J149" s="130">
        <v>46238.0</v>
      </c>
      <c r="K149" s="124"/>
      <c r="L149" s="124" t="str">
        <f t="array" ref="L149">IFERROR(INDEX('Gerenciamento IH'!B:B,MATCH(A149,'Gerenciamento IH'!B:B,0)), "Não está")</f>
        <v>4175368881</v>
      </c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</row>
    <row r="150" hidden="1">
      <c r="A150" s="126" t="s">
        <v>235</v>
      </c>
      <c r="B150" s="127"/>
      <c r="C150" s="127"/>
      <c r="D150" s="129">
        <v>4.175379495E9</v>
      </c>
      <c r="E150" s="129" t="s">
        <v>973</v>
      </c>
      <c r="F150" s="129" t="s">
        <v>906</v>
      </c>
      <c r="G150" s="129" t="s">
        <v>967</v>
      </c>
      <c r="H150" s="129" t="s">
        <v>908</v>
      </c>
      <c r="I150" s="126" t="s">
        <v>1239</v>
      </c>
      <c r="J150" s="129" t="s">
        <v>910</v>
      </c>
      <c r="K150" s="124"/>
      <c r="L150" s="124" t="str">
        <f t="array" ref="L150">IFERROR(INDEX('Gerenciamento IH'!B:B,MATCH(A150,'Gerenciamento IH'!B:B,0)), "Não está")</f>
        <v>4175379495</v>
      </c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</row>
    <row r="151" hidden="1">
      <c r="A151" s="126" t="s">
        <v>236</v>
      </c>
      <c r="B151" s="127"/>
      <c r="C151" s="127"/>
      <c r="D151" s="129">
        <v>4.175398099E9</v>
      </c>
      <c r="E151" s="129" t="s">
        <v>1240</v>
      </c>
      <c r="F151" s="129" t="s">
        <v>906</v>
      </c>
      <c r="G151" s="129" t="s">
        <v>1241</v>
      </c>
      <c r="H151" s="129" t="s">
        <v>908</v>
      </c>
      <c r="I151" s="126" t="s">
        <v>1242</v>
      </c>
      <c r="J151" s="129" t="s">
        <v>910</v>
      </c>
      <c r="K151" s="124"/>
      <c r="L151" s="124" t="str">
        <f t="array" ref="L151">IFERROR(INDEX('Gerenciamento IH'!B:B,MATCH(A151,'Gerenciamento IH'!B:B,0)), "Não está")</f>
        <v>4175398099</v>
      </c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</row>
    <row r="152" hidden="1">
      <c r="A152" s="126" t="s">
        <v>237</v>
      </c>
      <c r="B152" s="127"/>
      <c r="C152" s="127"/>
      <c r="D152" s="129">
        <v>4.175416521E9</v>
      </c>
      <c r="E152" s="129" t="s">
        <v>975</v>
      </c>
      <c r="F152" s="129" t="s">
        <v>906</v>
      </c>
      <c r="G152" s="129" t="s">
        <v>1017</v>
      </c>
      <c r="H152" s="129" t="s">
        <v>908</v>
      </c>
      <c r="I152" s="126" t="s">
        <v>1243</v>
      </c>
      <c r="J152" s="129" t="s">
        <v>905</v>
      </c>
      <c r="K152" s="124"/>
      <c r="L152" s="124" t="str">
        <f t="array" ref="L152">IFERROR(INDEX('Gerenciamento IH'!B:B,MATCH(A152,'Gerenciamento IH'!B:B,0)), "Não está")</f>
        <v>4175416521</v>
      </c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</row>
    <row r="153" hidden="1">
      <c r="A153" s="126" t="s">
        <v>201</v>
      </c>
      <c r="B153" s="127"/>
      <c r="C153" s="127"/>
      <c r="D153" s="129">
        <v>4.175428511E9</v>
      </c>
      <c r="E153" s="129" t="s">
        <v>998</v>
      </c>
      <c r="F153" s="129" t="s">
        <v>906</v>
      </c>
      <c r="G153" s="129" t="s">
        <v>954</v>
      </c>
      <c r="H153" s="129" t="s">
        <v>1244</v>
      </c>
      <c r="I153" s="126" t="s">
        <v>1245</v>
      </c>
      <c r="J153" s="130">
        <v>46057.0</v>
      </c>
      <c r="K153" s="124"/>
      <c r="L153" s="124" t="str">
        <f t="array" ref="L153">IFERROR(INDEX('Gerenciamento IH'!B:B,MATCH(A153,'Gerenciamento IH'!B:B,0)), "Não está")</f>
        <v>4175428511</v>
      </c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</row>
    <row r="154" hidden="1">
      <c r="A154" s="126" t="s">
        <v>202</v>
      </c>
      <c r="B154" s="127"/>
      <c r="C154" s="127"/>
      <c r="D154" s="129">
        <v>4.175443263E9</v>
      </c>
      <c r="E154" s="129" t="s">
        <v>1092</v>
      </c>
      <c r="F154" s="129" t="s">
        <v>906</v>
      </c>
      <c r="G154" s="129" t="s">
        <v>1246</v>
      </c>
      <c r="H154" s="129" t="s">
        <v>1247</v>
      </c>
      <c r="I154" s="126" t="s">
        <v>1248</v>
      </c>
      <c r="J154" s="129" t="s">
        <v>963</v>
      </c>
      <c r="K154" s="124"/>
      <c r="L154" s="124" t="str">
        <f t="array" ref="L154">IFERROR(INDEX('Gerenciamento IH'!B:B,MATCH(A154,'Gerenciamento IH'!B:B,0)), "Não está")</f>
        <v>4175443263</v>
      </c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</row>
    <row r="155" hidden="1">
      <c r="A155" s="126" t="s">
        <v>234</v>
      </c>
      <c r="B155" s="127"/>
      <c r="C155" s="127"/>
      <c r="D155" s="129">
        <v>4.175559119E9</v>
      </c>
      <c r="E155" s="130">
        <v>46299.0</v>
      </c>
      <c r="F155" s="129" t="s">
        <v>906</v>
      </c>
      <c r="G155" s="129" t="s">
        <v>1249</v>
      </c>
      <c r="H155" s="129" t="s">
        <v>1250</v>
      </c>
      <c r="I155" s="126" t="s">
        <v>453</v>
      </c>
      <c r="J155" s="129" t="s">
        <v>914</v>
      </c>
      <c r="K155" s="124"/>
      <c r="L155" s="124" t="str">
        <f t="array" ref="L155">IFERROR(INDEX('Gerenciamento IH'!B:B,MATCH(A155,'Gerenciamento IH'!B:B,0)), "Não está")</f>
        <v>4175559119</v>
      </c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</row>
    <row r="156" hidden="1">
      <c r="A156" s="126" t="s">
        <v>37</v>
      </c>
      <c r="B156" s="127"/>
      <c r="C156" s="127"/>
      <c r="D156" s="129">
        <v>4.174734388E9</v>
      </c>
      <c r="E156" s="129" t="s">
        <v>1251</v>
      </c>
      <c r="F156" s="129" t="s">
        <v>906</v>
      </c>
      <c r="G156" s="129" t="s">
        <v>1252</v>
      </c>
      <c r="H156" s="129" t="s">
        <v>1253</v>
      </c>
      <c r="I156" s="126" t="s">
        <v>1254</v>
      </c>
      <c r="J156" s="130">
        <v>46084.0</v>
      </c>
      <c r="K156" s="124"/>
      <c r="L156" s="124" t="str">
        <f t="array" ref="L156">IFERROR(INDEX('Gerenciamento IH'!B:B,MATCH(A156,'Gerenciamento IH'!B:B,0)), "Não está")</f>
        <v>4174734388</v>
      </c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</row>
    <row r="157" hidden="1">
      <c r="A157" s="126" t="s">
        <v>40</v>
      </c>
      <c r="B157" s="127"/>
      <c r="C157" s="127"/>
      <c r="D157" s="129">
        <v>4.17484679E9</v>
      </c>
      <c r="E157" s="130">
        <v>46143.0</v>
      </c>
      <c r="F157" s="129" t="s">
        <v>906</v>
      </c>
      <c r="G157" s="129" t="s">
        <v>1063</v>
      </c>
      <c r="H157" s="129" t="s">
        <v>1255</v>
      </c>
      <c r="I157" s="126" t="s">
        <v>1256</v>
      </c>
      <c r="J157" s="129" t="s">
        <v>950</v>
      </c>
      <c r="K157" s="124"/>
      <c r="L157" s="124" t="str">
        <f t="array" ref="L157">IFERROR(INDEX('Gerenciamento IH'!B:B,MATCH(A157,'Gerenciamento IH'!B:B,0)), "Não está")</f>
        <v>4174846790</v>
      </c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</row>
    <row r="158" hidden="1">
      <c r="A158" s="126" t="s">
        <v>43</v>
      </c>
      <c r="B158" s="127"/>
      <c r="C158" s="127"/>
      <c r="D158" s="129">
        <v>4.174886626E9</v>
      </c>
      <c r="E158" s="130">
        <v>46266.0</v>
      </c>
      <c r="F158" s="129" t="s">
        <v>906</v>
      </c>
      <c r="G158" s="129" t="s">
        <v>1257</v>
      </c>
      <c r="H158" s="129" t="s">
        <v>1258</v>
      </c>
      <c r="I158" s="126" t="s">
        <v>1023</v>
      </c>
      <c r="J158" s="129" t="s">
        <v>950</v>
      </c>
      <c r="K158" s="124"/>
      <c r="L158" s="124" t="str">
        <f t="array" ref="L158">IFERROR(INDEX('Gerenciamento IH'!B:B,MATCH(A158,'Gerenciamento IH'!B:B,0)), "Não está")</f>
        <v>4174886626</v>
      </c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</row>
    <row r="159" hidden="1">
      <c r="A159" s="126" t="s">
        <v>50</v>
      </c>
      <c r="B159" s="127"/>
      <c r="C159" s="127"/>
      <c r="D159" s="129">
        <v>4.174925699E9</v>
      </c>
      <c r="E159" s="129" t="s">
        <v>944</v>
      </c>
      <c r="F159" s="129" t="s">
        <v>906</v>
      </c>
      <c r="G159" s="129" t="s">
        <v>967</v>
      </c>
      <c r="H159" s="129" t="s">
        <v>1259</v>
      </c>
      <c r="I159" s="126" t="s">
        <v>1260</v>
      </c>
      <c r="J159" s="130">
        <v>46358.0</v>
      </c>
      <c r="K159" s="124"/>
      <c r="L159" s="124" t="str">
        <f t="array" ref="L159">IFERROR(INDEX('Gerenciamento IH'!B:B,MATCH(A159,'Gerenciamento IH'!B:B,0)), "Não está")</f>
        <v>4174925699</v>
      </c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</row>
    <row r="160" hidden="1">
      <c r="A160" s="126" t="s">
        <v>47</v>
      </c>
      <c r="B160" s="127"/>
      <c r="C160" s="127"/>
      <c r="D160" s="129">
        <v>4.174946607E9</v>
      </c>
      <c r="E160" s="129" t="s">
        <v>1261</v>
      </c>
      <c r="F160" s="129" t="s">
        <v>906</v>
      </c>
      <c r="G160" s="129" t="s">
        <v>1262</v>
      </c>
      <c r="H160" s="129" t="s">
        <v>908</v>
      </c>
      <c r="I160" s="126" t="s">
        <v>1263</v>
      </c>
      <c r="J160" s="129" t="s">
        <v>987</v>
      </c>
      <c r="K160" s="124"/>
      <c r="L160" s="124" t="str">
        <f t="array" ref="L160">IFERROR(INDEX('Gerenciamento IH'!B:B,MATCH(A160,'Gerenciamento IH'!B:B,0)), "Não está")</f>
        <v>4174946607</v>
      </c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</row>
    <row r="161" hidden="1">
      <c r="A161" s="126" t="s">
        <v>51</v>
      </c>
      <c r="B161" s="127"/>
      <c r="C161" s="127"/>
      <c r="D161" s="129">
        <v>4.174947209E9</v>
      </c>
      <c r="E161" s="129" t="s">
        <v>1261</v>
      </c>
      <c r="F161" s="129" t="s">
        <v>906</v>
      </c>
      <c r="G161" s="129" t="s">
        <v>957</v>
      </c>
      <c r="H161" s="129" t="s">
        <v>908</v>
      </c>
      <c r="I161" s="126" t="s">
        <v>1264</v>
      </c>
      <c r="J161" s="130">
        <v>46358.0</v>
      </c>
      <c r="K161" s="124"/>
      <c r="L161" s="124" t="str">
        <f t="array" ref="L161">IFERROR(INDEX('Gerenciamento IH'!B:B,MATCH(A161,'Gerenciamento IH'!B:B,0)), "Não está")</f>
        <v>4174947209</v>
      </c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</row>
    <row r="162" hidden="1">
      <c r="A162" s="126" t="s">
        <v>53</v>
      </c>
      <c r="B162" s="127"/>
      <c r="C162" s="127"/>
      <c r="D162" s="129">
        <v>4.175001531E9</v>
      </c>
      <c r="E162" s="129" t="s">
        <v>1265</v>
      </c>
      <c r="F162" s="129" t="s">
        <v>906</v>
      </c>
      <c r="G162" s="129" t="s">
        <v>970</v>
      </c>
      <c r="H162" s="129" t="s">
        <v>1266</v>
      </c>
      <c r="I162" s="126" t="s">
        <v>1267</v>
      </c>
      <c r="J162" s="130">
        <v>46358.0</v>
      </c>
      <c r="K162" s="124"/>
      <c r="L162" s="124" t="str">
        <f t="array" ref="L162">IFERROR(INDEX('Gerenciamento IH'!B:B,MATCH(A162,'Gerenciamento IH'!B:B,0)), "Não está")</f>
        <v>4175001531</v>
      </c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</row>
    <row r="163" hidden="1">
      <c r="A163" s="126" t="s">
        <v>55</v>
      </c>
      <c r="B163" s="127"/>
      <c r="C163" s="127"/>
      <c r="D163" s="129">
        <v>4.175002599E9</v>
      </c>
      <c r="E163" s="129" t="s">
        <v>1265</v>
      </c>
      <c r="F163" s="129" t="s">
        <v>906</v>
      </c>
      <c r="G163" s="129" t="s">
        <v>970</v>
      </c>
      <c r="H163" s="129" t="s">
        <v>1268</v>
      </c>
      <c r="I163" s="126" t="s">
        <v>1267</v>
      </c>
      <c r="J163" s="130">
        <v>46358.0</v>
      </c>
      <c r="K163" s="124"/>
      <c r="L163" s="124" t="str">
        <f t="array" ref="L163">IFERROR(INDEX('Gerenciamento IH'!B:B,MATCH(A163,'Gerenciamento IH'!B:B,0)), "Não está")</f>
        <v>4175002599</v>
      </c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</row>
    <row r="164" hidden="1">
      <c r="A164" s="126" t="s">
        <v>57</v>
      </c>
      <c r="B164" s="127"/>
      <c r="C164" s="127"/>
      <c r="D164" s="129">
        <v>4.175021965E9</v>
      </c>
      <c r="E164" s="129" t="s">
        <v>1269</v>
      </c>
      <c r="F164" s="129" t="s">
        <v>906</v>
      </c>
      <c r="G164" s="129" t="s">
        <v>937</v>
      </c>
      <c r="H164" s="129" t="s">
        <v>1270</v>
      </c>
      <c r="I164" s="126" t="s">
        <v>1271</v>
      </c>
      <c r="J164" s="130">
        <v>46358.0</v>
      </c>
      <c r="K164" s="124"/>
      <c r="L164" s="124" t="str">
        <f t="array" ref="L164">IFERROR(INDEX('Gerenciamento IH'!B:B,MATCH(A164,'Gerenciamento IH'!B:B,0)), "Não está")</f>
        <v>4175021965</v>
      </c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</row>
    <row r="165" hidden="1">
      <c r="A165" s="126" t="s">
        <v>59</v>
      </c>
      <c r="B165" s="127"/>
      <c r="C165" s="127"/>
      <c r="D165" s="129">
        <v>4.175031844E9</v>
      </c>
      <c r="E165" s="129" t="s">
        <v>1161</v>
      </c>
      <c r="F165" s="129" t="s">
        <v>906</v>
      </c>
      <c r="G165" s="129" t="s">
        <v>1078</v>
      </c>
      <c r="H165" s="129" t="s">
        <v>908</v>
      </c>
      <c r="I165" s="126" t="s">
        <v>1272</v>
      </c>
      <c r="J165" s="130">
        <v>46358.0</v>
      </c>
      <c r="K165" s="124"/>
      <c r="L165" s="124" t="str">
        <f t="array" ref="L165">IFERROR(INDEX('Gerenciamento IH'!B:B,MATCH(A165,'Gerenciamento IH'!B:B,0)), "Não está")</f>
        <v>4175031844</v>
      </c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</row>
    <row r="166" hidden="1">
      <c r="A166" s="126" t="s">
        <v>76</v>
      </c>
      <c r="B166" s="127"/>
      <c r="C166" s="127"/>
      <c r="D166" s="129">
        <v>4.17509177E9</v>
      </c>
      <c r="E166" s="130">
        <v>46114.0</v>
      </c>
      <c r="F166" s="129" t="s">
        <v>906</v>
      </c>
      <c r="G166" s="129" t="s">
        <v>1273</v>
      </c>
      <c r="H166" s="129" t="s">
        <v>1274</v>
      </c>
      <c r="I166" s="126" t="s">
        <v>1275</v>
      </c>
      <c r="J166" s="130">
        <v>46329.0</v>
      </c>
      <c r="K166" s="124"/>
      <c r="L166" s="124" t="str">
        <f t="array" ref="L166">IFERROR(INDEX('Gerenciamento IH'!B:B,MATCH(A166,'Gerenciamento IH'!B:B,0)), "Não está")</f>
        <v>4175091770</v>
      </c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</row>
    <row r="167" hidden="1">
      <c r="A167" s="126" t="s">
        <v>91</v>
      </c>
      <c r="B167" s="127"/>
      <c r="C167" s="127"/>
      <c r="D167" s="129">
        <v>4.175163317E9</v>
      </c>
      <c r="E167" s="129" t="s">
        <v>987</v>
      </c>
      <c r="F167" s="129" t="s">
        <v>906</v>
      </c>
      <c r="G167" s="129" t="s">
        <v>967</v>
      </c>
      <c r="H167" s="129" t="s">
        <v>1276</v>
      </c>
      <c r="I167" s="126" t="s">
        <v>1277</v>
      </c>
      <c r="J167" s="129" t="s">
        <v>914</v>
      </c>
      <c r="K167" s="124"/>
      <c r="L167" s="124" t="str">
        <f t="array" ref="L167">IFERROR(INDEX('Gerenciamento IH'!B:B,MATCH(A167,'Gerenciamento IH'!B:B,0)), "Não está")</f>
        <v>4175163317</v>
      </c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</row>
    <row r="168" hidden="1">
      <c r="A168" s="126" t="s">
        <v>185</v>
      </c>
      <c r="B168" s="127"/>
      <c r="C168" s="127"/>
      <c r="D168" s="129">
        <v>4.175360099E9</v>
      </c>
      <c r="E168" s="130">
        <v>46359.0</v>
      </c>
      <c r="F168" s="129" t="s">
        <v>906</v>
      </c>
      <c r="G168" s="129" t="s">
        <v>911</v>
      </c>
      <c r="H168" s="129" t="s">
        <v>1278</v>
      </c>
      <c r="I168" s="126" t="s">
        <v>1279</v>
      </c>
      <c r="J168" s="129" t="s">
        <v>963</v>
      </c>
      <c r="K168" s="124"/>
      <c r="L168" s="124" t="str">
        <f t="array" ref="L168">IFERROR(INDEX('Gerenciamento IH'!B:B,MATCH(A168,'Gerenciamento IH'!B:B,0)), "Não está")</f>
        <v>4175360099</v>
      </c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</row>
    <row r="169" hidden="1">
      <c r="A169" s="132"/>
      <c r="B169" s="124"/>
      <c r="C169" s="124"/>
      <c r="D169" s="124"/>
      <c r="E169" s="124"/>
      <c r="F169" s="124"/>
      <c r="G169" s="124"/>
      <c r="H169" s="124"/>
      <c r="I169" s="132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</row>
    <row r="170" hidden="1">
      <c r="A170" s="132"/>
      <c r="B170" s="124"/>
      <c r="C170" s="124"/>
      <c r="D170" s="124"/>
      <c r="E170" s="124"/>
      <c r="F170" s="124"/>
      <c r="G170" s="124"/>
      <c r="H170" s="124"/>
      <c r="I170" s="132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</row>
    <row r="171" hidden="1">
      <c r="A171" s="132"/>
      <c r="B171" s="124"/>
      <c r="C171" s="124"/>
      <c r="D171" s="124"/>
      <c r="E171" s="124"/>
      <c r="F171" s="124"/>
      <c r="G171" s="124"/>
      <c r="H171" s="124"/>
      <c r="I171" s="132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</row>
    <row r="172" hidden="1">
      <c r="A172" s="132"/>
      <c r="B172" s="124"/>
      <c r="C172" s="124"/>
      <c r="D172" s="124"/>
      <c r="E172" s="124"/>
      <c r="F172" s="124"/>
      <c r="G172" s="124"/>
      <c r="H172" s="124"/>
      <c r="I172" s="132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</row>
    <row r="173" hidden="1">
      <c r="A173" s="132"/>
      <c r="B173" s="124"/>
      <c r="C173" s="124"/>
      <c r="D173" s="124"/>
      <c r="E173" s="124"/>
      <c r="F173" s="124"/>
      <c r="G173" s="124"/>
      <c r="H173" s="124"/>
      <c r="I173" s="132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</row>
    <row r="174" hidden="1">
      <c r="A174" s="132"/>
      <c r="B174" s="124"/>
      <c r="C174" s="124"/>
      <c r="D174" s="124"/>
      <c r="E174" s="124"/>
      <c r="F174" s="124"/>
      <c r="G174" s="124"/>
      <c r="H174" s="124"/>
      <c r="I174" s="132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</row>
    <row r="175" hidden="1">
      <c r="A175" s="132"/>
      <c r="B175" s="124"/>
      <c r="C175" s="124"/>
      <c r="D175" s="124"/>
      <c r="E175" s="124"/>
      <c r="F175" s="124"/>
      <c r="G175" s="124"/>
      <c r="H175" s="124"/>
      <c r="I175" s="132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</row>
    <row r="176" hidden="1">
      <c r="A176" s="132"/>
      <c r="B176" s="124"/>
      <c r="C176" s="124"/>
      <c r="D176" s="124"/>
      <c r="E176" s="124"/>
      <c r="F176" s="124"/>
      <c r="G176" s="124"/>
      <c r="H176" s="124"/>
      <c r="I176" s="132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</row>
    <row r="177" hidden="1">
      <c r="A177" s="132"/>
      <c r="B177" s="124"/>
      <c r="C177" s="124"/>
      <c r="D177" s="124"/>
      <c r="E177" s="124"/>
      <c r="F177" s="124"/>
      <c r="G177" s="124"/>
      <c r="H177" s="124"/>
      <c r="I177" s="132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</row>
    <row r="178" hidden="1">
      <c r="A178" s="132"/>
      <c r="B178" s="124"/>
      <c r="C178" s="124"/>
      <c r="D178" s="124"/>
      <c r="E178" s="124"/>
      <c r="F178" s="124"/>
      <c r="G178" s="124"/>
      <c r="H178" s="124"/>
      <c r="I178" s="132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</row>
    <row r="179" hidden="1">
      <c r="A179" s="132"/>
      <c r="B179" s="124"/>
      <c r="C179" s="124"/>
      <c r="D179" s="124"/>
      <c r="E179" s="124"/>
      <c r="F179" s="124"/>
      <c r="G179" s="124"/>
      <c r="H179" s="124"/>
      <c r="I179" s="132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</row>
    <row r="180" hidden="1">
      <c r="A180" s="132"/>
      <c r="B180" s="124"/>
      <c r="C180" s="124"/>
      <c r="D180" s="124"/>
      <c r="E180" s="124"/>
      <c r="F180" s="124"/>
      <c r="G180" s="124"/>
      <c r="H180" s="124"/>
      <c r="I180" s="132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</row>
    <row r="181" hidden="1">
      <c r="A181" s="132"/>
      <c r="B181" s="124"/>
      <c r="C181" s="124"/>
      <c r="D181" s="124"/>
      <c r="E181" s="124"/>
      <c r="F181" s="124"/>
      <c r="G181" s="124"/>
      <c r="H181" s="124"/>
      <c r="I181" s="132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</row>
    <row r="182" hidden="1">
      <c r="A182" s="132"/>
      <c r="B182" s="124"/>
      <c r="C182" s="124"/>
      <c r="D182" s="124"/>
      <c r="E182" s="124"/>
      <c r="F182" s="124"/>
      <c r="G182" s="124"/>
      <c r="H182" s="124"/>
      <c r="I182" s="132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</row>
    <row r="183" hidden="1">
      <c r="A183" s="132"/>
      <c r="B183" s="124"/>
      <c r="C183" s="124"/>
      <c r="D183" s="124"/>
      <c r="E183" s="124"/>
      <c r="F183" s="124"/>
      <c r="G183" s="124"/>
      <c r="H183" s="124"/>
      <c r="I183" s="132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</row>
    <row r="184" hidden="1">
      <c r="A184" s="132"/>
      <c r="B184" s="124"/>
      <c r="C184" s="124"/>
      <c r="D184" s="124"/>
      <c r="E184" s="124"/>
      <c r="F184" s="124"/>
      <c r="G184" s="124"/>
      <c r="H184" s="124"/>
      <c r="I184" s="132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</row>
    <row r="185" hidden="1">
      <c r="A185" s="132"/>
      <c r="B185" s="124"/>
      <c r="C185" s="124"/>
      <c r="D185" s="124"/>
      <c r="E185" s="124"/>
      <c r="F185" s="124"/>
      <c r="G185" s="124"/>
      <c r="H185" s="124"/>
      <c r="I185" s="132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</row>
    <row r="186" hidden="1">
      <c r="A186" s="132"/>
      <c r="B186" s="124"/>
      <c r="C186" s="124"/>
      <c r="D186" s="124"/>
      <c r="E186" s="124"/>
      <c r="F186" s="124"/>
      <c r="G186" s="124"/>
      <c r="H186" s="124"/>
      <c r="I186" s="132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</row>
    <row r="187" hidden="1">
      <c r="A187" s="132"/>
      <c r="B187" s="124"/>
      <c r="C187" s="124"/>
      <c r="D187" s="124"/>
      <c r="E187" s="124"/>
      <c r="F187" s="124"/>
      <c r="G187" s="124"/>
      <c r="H187" s="124"/>
      <c r="I187" s="132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</row>
    <row r="188" hidden="1">
      <c r="A188" s="132"/>
      <c r="B188" s="124"/>
      <c r="C188" s="124"/>
      <c r="D188" s="124"/>
      <c r="E188" s="124"/>
      <c r="F188" s="124"/>
      <c r="G188" s="124"/>
      <c r="H188" s="124"/>
      <c r="I188" s="132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</row>
    <row r="189" hidden="1">
      <c r="A189" s="132"/>
      <c r="B189" s="124"/>
      <c r="C189" s="124"/>
      <c r="D189" s="124"/>
      <c r="E189" s="124"/>
      <c r="F189" s="124"/>
      <c r="G189" s="124"/>
      <c r="H189" s="124"/>
      <c r="I189" s="132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</row>
    <row r="190" hidden="1">
      <c r="A190" s="132"/>
      <c r="B190" s="124"/>
      <c r="C190" s="124"/>
      <c r="D190" s="124"/>
      <c r="E190" s="124"/>
      <c r="F190" s="124"/>
      <c r="G190" s="124"/>
      <c r="H190" s="124"/>
      <c r="I190" s="132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</row>
    <row r="191" hidden="1">
      <c r="A191" s="132"/>
      <c r="B191" s="124"/>
      <c r="C191" s="124"/>
      <c r="D191" s="124"/>
      <c r="E191" s="124"/>
      <c r="F191" s="124"/>
      <c r="G191" s="124"/>
      <c r="H191" s="124"/>
      <c r="I191" s="132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</row>
    <row r="192" hidden="1">
      <c r="A192" s="132"/>
      <c r="B192" s="124"/>
      <c r="C192" s="124"/>
      <c r="D192" s="124"/>
      <c r="E192" s="124"/>
      <c r="F192" s="124"/>
      <c r="G192" s="124"/>
      <c r="H192" s="124"/>
      <c r="I192" s="132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</row>
    <row r="193" hidden="1">
      <c r="A193" s="132"/>
      <c r="B193" s="124"/>
      <c r="C193" s="124"/>
      <c r="D193" s="124"/>
      <c r="E193" s="124"/>
      <c r="F193" s="124"/>
      <c r="G193" s="124"/>
      <c r="H193" s="124"/>
      <c r="I193" s="132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</row>
    <row r="194" hidden="1">
      <c r="A194" s="132"/>
      <c r="B194" s="124"/>
      <c r="C194" s="124"/>
      <c r="D194" s="124"/>
      <c r="E194" s="124"/>
      <c r="F194" s="124"/>
      <c r="G194" s="124"/>
      <c r="H194" s="124"/>
      <c r="I194" s="132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</row>
    <row r="195" hidden="1">
      <c r="A195" s="132"/>
      <c r="B195" s="124"/>
      <c r="C195" s="124"/>
      <c r="D195" s="124"/>
      <c r="E195" s="124"/>
      <c r="F195" s="124"/>
      <c r="G195" s="124"/>
      <c r="H195" s="124"/>
      <c r="I195" s="132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</row>
    <row r="196" hidden="1">
      <c r="A196" s="132"/>
      <c r="B196" s="124"/>
      <c r="C196" s="124"/>
      <c r="D196" s="124"/>
      <c r="E196" s="124"/>
      <c r="F196" s="124"/>
      <c r="G196" s="124"/>
      <c r="H196" s="124"/>
      <c r="I196" s="132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</row>
    <row r="197" hidden="1">
      <c r="A197" s="132"/>
      <c r="B197" s="124"/>
      <c r="C197" s="124"/>
      <c r="D197" s="124"/>
      <c r="E197" s="124"/>
      <c r="F197" s="124"/>
      <c r="G197" s="124"/>
      <c r="H197" s="124"/>
      <c r="I197" s="132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</row>
    <row r="198" hidden="1">
      <c r="A198" s="132"/>
      <c r="B198" s="124"/>
      <c r="C198" s="124"/>
      <c r="D198" s="124"/>
      <c r="E198" s="124"/>
      <c r="F198" s="124"/>
      <c r="G198" s="124"/>
      <c r="H198" s="124"/>
      <c r="I198" s="132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</row>
    <row r="199" hidden="1">
      <c r="A199" s="132"/>
      <c r="B199" s="124"/>
      <c r="C199" s="124"/>
      <c r="D199" s="124"/>
      <c r="E199" s="124"/>
      <c r="F199" s="124"/>
      <c r="G199" s="124"/>
      <c r="H199" s="124"/>
      <c r="I199" s="132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</row>
    <row r="200" hidden="1">
      <c r="A200" s="132"/>
      <c r="B200" s="124"/>
      <c r="C200" s="124"/>
      <c r="D200" s="124"/>
      <c r="E200" s="124"/>
      <c r="F200" s="124"/>
      <c r="G200" s="124"/>
      <c r="H200" s="124"/>
      <c r="I200" s="132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</row>
    <row r="201" hidden="1">
      <c r="A201" s="132"/>
      <c r="B201" s="124"/>
      <c r="C201" s="124"/>
      <c r="D201" s="124"/>
      <c r="E201" s="124"/>
      <c r="F201" s="124"/>
      <c r="G201" s="124"/>
      <c r="H201" s="124"/>
      <c r="I201" s="132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</row>
    <row r="202" hidden="1">
      <c r="A202" s="132"/>
      <c r="B202" s="124"/>
      <c r="C202" s="124"/>
      <c r="D202" s="124"/>
      <c r="E202" s="124"/>
      <c r="F202" s="124"/>
      <c r="G202" s="124"/>
      <c r="H202" s="124"/>
      <c r="I202" s="132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</row>
    <row r="203" hidden="1">
      <c r="A203" s="132"/>
      <c r="B203" s="124"/>
      <c r="C203" s="124"/>
      <c r="D203" s="124"/>
      <c r="E203" s="124"/>
      <c r="F203" s="124"/>
      <c r="G203" s="124"/>
      <c r="H203" s="124"/>
      <c r="I203" s="132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</row>
    <row r="204" hidden="1">
      <c r="A204" s="132"/>
      <c r="B204" s="124"/>
      <c r="C204" s="124"/>
      <c r="D204" s="124"/>
      <c r="E204" s="124"/>
      <c r="F204" s="124"/>
      <c r="G204" s="124"/>
      <c r="H204" s="124"/>
      <c r="I204" s="132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</row>
    <row r="205" hidden="1">
      <c r="A205" s="132"/>
      <c r="B205" s="124"/>
      <c r="C205" s="124"/>
      <c r="D205" s="124"/>
      <c r="E205" s="124"/>
      <c r="F205" s="124"/>
      <c r="G205" s="124"/>
      <c r="H205" s="124"/>
      <c r="I205" s="132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</row>
    <row r="206" hidden="1">
      <c r="A206" s="132"/>
      <c r="B206" s="124"/>
      <c r="C206" s="124"/>
      <c r="D206" s="124"/>
      <c r="E206" s="124"/>
      <c r="F206" s="124"/>
      <c r="G206" s="124"/>
      <c r="H206" s="124"/>
      <c r="I206" s="132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</row>
    <row r="207" hidden="1">
      <c r="A207" s="132"/>
      <c r="B207" s="124"/>
      <c r="C207" s="124"/>
      <c r="D207" s="124"/>
      <c r="E207" s="124"/>
      <c r="F207" s="124"/>
      <c r="G207" s="124"/>
      <c r="H207" s="124"/>
      <c r="I207" s="132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</row>
    <row r="208" hidden="1">
      <c r="A208" s="132"/>
      <c r="B208" s="124"/>
      <c r="C208" s="124"/>
      <c r="D208" s="124"/>
      <c r="E208" s="124"/>
      <c r="F208" s="124"/>
      <c r="G208" s="124"/>
      <c r="H208" s="124"/>
      <c r="I208" s="132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</row>
    <row r="209" hidden="1">
      <c r="A209" s="132"/>
      <c r="B209" s="124"/>
      <c r="C209" s="124"/>
      <c r="D209" s="124"/>
      <c r="E209" s="124"/>
      <c r="F209" s="124"/>
      <c r="G209" s="124"/>
      <c r="H209" s="124"/>
      <c r="I209" s="132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</row>
    <row r="210" hidden="1">
      <c r="A210" s="132"/>
      <c r="B210" s="124"/>
      <c r="C210" s="124"/>
      <c r="D210" s="124"/>
      <c r="E210" s="124"/>
      <c r="F210" s="124"/>
      <c r="G210" s="124"/>
      <c r="H210" s="124"/>
      <c r="I210" s="132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</row>
    <row r="211" hidden="1">
      <c r="A211" s="132"/>
      <c r="B211" s="124"/>
      <c r="C211" s="124"/>
      <c r="D211" s="124"/>
      <c r="E211" s="124"/>
      <c r="F211" s="124"/>
      <c r="G211" s="124"/>
      <c r="H211" s="124"/>
      <c r="I211" s="132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</row>
    <row r="212" hidden="1">
      <c r="A212" s="132"/>
      <c r="B212" s="124"/>
      <c r="C212" s="124"/>
      <c r="D212" s="124"/>
      <c r="E212" s="124"/>
      <c r="F212" s="124"/>
      <c r="G212" s="124"/>
      <c r="H212" s="124"/>
      <c r="I212" s="132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</row>
    <row r="213" hidden="1">
      <c r="A213" s="132"/>
      <c r="B213" s="124"/>
      <c r="C213" s="124"/>
      <c r="D213" s="124"/>
      <c r="E213" s="124"/>
      <c r="F213" s="124"/>
      <c r="G213" s="124"/>
      <c r="H213" s="124"/>
      <c r="I213" s="132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</row>
    <row r="214" hidden="1">
      <c r="A214" s="132"/>
      <c r="B214" s="124"/>
      <c r="C214" s="124"/>
      <c r="D214" s="124"/>
      <c r="E214" s="124"/>
      <c r="F214" s="124"/>
      <c r="G214" s="124"/>
      <c r="H214" s="124"/>
      <c r="I214" s="132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</row>
    <row r="215" hidden="1">
      <c r="A215" s="132"/>
      <c r="B215" s="124"/>
      <c r="C215" s="124"/>
      <c r="D215" s="124"/>
      <c r="E215" s="124"/>
      <c r="F215" s="124"/>
      <c r="G215" s="124"/>
      <c r="H215" s="124"/>
      <c r="I215" s="132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</row>
    <row r="216" hidden="1">
      <c r="A216" s="132"/>
      <c r="B216" s="124"/>
      <c r="C216" s="124"/>
      <c r="D216" s="124"/>
      <c r="E216" s="124"/>
      <c r="F216" s="124"/>
      <c r="G216" s="124"/>
      <c r="H216" s="124"/>
      <c r="I216" s="132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</row>
    <row r="217" hidden="1">
      <c r="A217" s="132"/>
      <c r="B217" s="124"/>
      <c r="C217" s="124"/>
      <c r="D217" s="124"/>
      <c r="E217" s="124"/>
      <c r="F217" s="124"/>
      <c r="G217" s="124"/>
      <c r="H217" s="124"/>
      <c r="I217" s="132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</row>
    <row r="218" hidden="1">
      <c r="A218" s="132"/>
      <c r="B218" s="124"/>
      <c r="C218" s="124"/>
      <c r="D218" s="124"/>
      <c r="E218" s="124"/>
      <c r="F218" s="124"/>
      <c r="G218" s="124"/>
      <c r="H218" s="124"/>
      <c r="I218" s="132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</row>
    <row r="219" hidden="1">
      <c r="A219" s="132"/>
      <c r="B219" s="124"/>
      <c r="C219" s="124"/>
      <c r="D219" s="124"/>
      <c r="E219" s="124"/>
      <c r="F219" s="124"/>
      <c r="G219" s="124"/>
      <c r="H219" s="124"/>
      <c r="I219" s="132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</row>
    <row r="220" hidden="1">
      <c r="A220" s="132"/>
      <c r="B220" s="124"/>
      <c r="C220" s="124"/>
      <c r="D220" s="124"/>
      <c r="E220" s="124"/>
      <c r="F220" s="124"/>
      <c r="G220" s="124"/>
      <c r="H220" s="124"/>
      <c r="I220" s="132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</row>
    <row r="221" hidden="1">
      <c r="A221" s="132"/>
      <c r="B221" s="124"/>
      <c r="C221" s="124"/>
      <c r="D221" s="124"/>
      <c r="E221" s="124"/>
      <c r="F221" s="124"/>
      <c r="G221" s="124"/>
      <c r="H221" s="124"/>
      <c r="I221" s="132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</row>
    <row r="222" hidden="1">
      <c r="A222" s="132"/>
      <c r="B222" s="124"/>
      <c r="C222" s="124"/>
      <c r="D222" s="124"/>
      <c r="E222" s="124"/>
      <c r="F222" s="124"/>
      <c r="G222" s="124"/>
      <c r="H222" s="124"/>
      <c r="I222" s="132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</row>
    <row r="223" hidden="1">
      <c r="A223" s="132"/>
      <c r="B223" s="124"/>
      <c r="C223" s="124"/>
      <c r="D223" s="124"/>
      <c r="E223" s="124"/>
      <c r="F223" s="124"/>
      <c r="G223" s="124"/>
      <c r="H223" s="124"/>
      <c r="I223" s="132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</row>
    <row r="224" hidden="1">
      <c r="A224" s="132"/>
      <c r="B224" s="124"/>
      <c r="C224" s="124"/>
      <c r="D224" s="124"/>
      <c r="E224" s="124"/>
      <c r="F224" s="124"/>
      <c r="G224" s="124"/>
      <c r="H224" s="124"/>
      <c r="I224" s="132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</row>
    <row r="225" hidden="1">
      <c r="A225" s="132"/>
      <c r="B225" s="124"/>
      <c r="C225" s="124"/>
      <c r="D225" s="124"/>
      <c r="E225" s="124"/>
      <c r="F225" s="124"/>
      <c r="G225" s="124"/>
      <c r="H225" s="124"/>
      <c r="I225" s="132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</row>
    <row r="226" hidden="1">
      <c r="A226" s="132"/>
      <c r="B226" s="124"/>
      <c r="C226" s="124"/>
      <c r="D226" s="124"/>
      <c r="E226" s="124"/>
      <c r="F226" s="124"/>
      <c r="G226" s="124"/>
      <c r="H226" s="124"/>
      <c r="I226" s="132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</row>
    <row r="227" hidden="1">
      <c r="A227" s="132"/>
      <c r="B227" s="124"/>
      <c r="C227" s="124"/>
      <c r="D227" s="124"/>
      <c r="E227" s="124"/>
      <c r="F227" s="124"/>
      <c r="G227" s="124"/>
      <c r="H227" s="124"/>
      <c r="I227" s="132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</row>
    <row r="228" hidden="1">
      <c r="A228" s="132"/>
      <c r="B228" s="124"/>
      <c r="C228" s="124"/>
      <c r="D228" s="124"/>
      <c r="E228" s="124"/>
      <c r="F228" s="124"/>
      <c r="G228" s="124"/>
      <c r="H228" s="124"/>
      <c r="I228" s="132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</row>
    <row r="229" hidden="1">
      <c r="A229" s="132"/>
      <c r="B229" s="124"/>
      <c r="C229" s="124"/>
      <c r="D229" s="124"/>
      <c r="E229" s="124"/>
      <c r="F229" s="124"/>
      <c r="G229" s="124"/>
      <c r="H229" s="124"/>
      <c r="I229" s="132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</row>
    <row r="230" hidden="1">
      <c r="A230" s="132"/>
      <c r="B230" s="124"/>
      <c r="C230" s="124"/>
      <c r="D230" s="124"/>
      <c r="E230" s="124"/>
      <c r="F230" s="124"/>
      <c r="G230" s="124"/>
      <c r="H230" s="124"/>
      <c r="I230" s="132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</row>
    <row r="231" hidden="1">
      <c r="A231" s="132"/>
      <c r="B231" s="124"/>
      <c r="C231" s="124"/>
      <c r="D231" s="124"/>
      <c r="E231" s="124"/>
      <c r="F231" s="124"/>
      <c r="G231" s="124"/>
      <c r="H231" s="124"/>
      <c r="I231" s="132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</row>
    <row r="232" hidden="1">
      <c r="A232" s="132"/>
      <c r="B232" s="124"/>
      <c r="C232" s="124"/>
      <c r="D232" s="124"/>
      <c r="E232" s="124"/>
      <c r="F232" s="124"/>
      <c r="G232" s="124"/>
      <c r="H232" s="124"/>
      <c r="I232" s="132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</row>
    <row r="233" hidden="1">
      <c r="A233" s="132"/>
      <c r="B233" s="124"/>
      <c r="C233" s="124"/>
      <c r="D233" s="124"/>
      <c r="E233" s="124"/>
      <c r="F233" s="124"/>
      <c r="G233" s="124"/>
      <c r="H233" s="124"/>
      <c r="I233" s="132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</row>
    <row r="234" hidden="1">
      <c r="A234" s="132"/>
      <c r="B234" s="124"/>
      <c r="C234" s="124"/>
      <c r="D234" s="124"/>
      <c r="E234" s="124"/>
      <c r="F234" s="124"/>
      <c r="G234" s="124"/>
      <c r="H234" s="124"/>
      <c r="I234" s="132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</row>
    <row r="235" hidden="1">
      <c r="A235" s="132"/>
      <c r="B235" s="124"/>
      <c r="C235" s="124"/>
      <c r="D235" s="124"/>
      <c r="E235" s="124"/>
      <c r="F235" s="124"/>
      <c r="G235" s="124"/>
      <c r="H235" s="124"/>
      <c r="I235" s="132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</row>
    <row r="236" hidden="1">
      <c r="A236" s="132"/>
      <c r="B236" s="124"/>
      <c r="C236" s="124"/>
      <c r="D236" s="124"/>
      <c r="E236" s="124"/>
      <c r="F236" s="124"/>
      <c r="G236" s="124"/>
      <c r="H236" s="124"/>
      <c r="I236" s="132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</row>
    <row r="237" hidden="1">
      <c r="A237" s="132"/>
      <c r="B237" s="124"/>
      <c r="C237" s="124"/>
      <c r="D237" s="124"/>
      <c r="E237" s="124"/>
      <c r="F237" s="124"/>
      <c r="G237" s="124"/>
      <c r="H237" s="124"/>
      <c r="I237" s="132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</row>
    <row r="238" hidden="1">
      <c r="A238" s="132"/>
      <c r="B238" s="124"/>
      <c r="C238" s="124"/>
      <c r="D238" s="124"/>
      <c r="E238" s="124"/>
      <c r="F238" s="124"/>
      <c r="G238" s="124"/>
      <c r="H238" s="124"/>
      <c r="I238" s="132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</row>
    <row r="239" hidden="1">
      <c r="A239" s="132"/>
      <c r="B239" s="124"/>
      <c r="C239" s="124"/>
      <c r="D239" s="124"/>
      <c r="E239" s="124"/>
      <c r="F239" s="124"/>
      <c r="G239" s="124"/>
      <c r="H239" s="124"/>
      <c r="I239" s="132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</row>
    <row r="240" hidden="1">
      <c r="A240" s="132"/>
      <c r="B240" s="124"/>
      <c r="C240" s="124"/>
      <c r="D240" s="124"/>
      <c r="E240" s="124"/>
      <c r="F240" s="124"/>
      <c r="G240" s="124"/>
      <c r="H240" s="124"/>
      <c r="I240" s="132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</row>
    <row r="241" hidden="1">
      <c r="A241" s="132"/>
      <c r="B241" s="124"/>
      <c r="C241" s="124"/>
      <c r="D241" s="124"/>
      <c r="E241" s="124"/>
      <c r="F241" s="124"/>
      <c r="G241" s="124"/>
      <c r="H241" s="124"/>
      <c r="I241" s="132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</row>
    <row r="242" hidden="1">
      <c r="A242" s="132"/>
      <c r="B242" s="124"/>
      <c r="C242" s="124"/>
      <c r="D242" s="124"/>
      <c r="E242" s="124"/>
      <c r="F242" s="124"/>
      <c r="G242" s="124"/>
      <c r="H242" s="124"/>
      <c r="I242" s="132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</row>
    <row r="243" hidden="1">
      <c r="A243" s="132"/>
      <c r="B243" s="124"/>
      <c r="C243" s="124"/>
      <c r="D243" s="124"/>
      <c r="E243" s="124"/>
      <c r="F243" s="124"/>
      <c r="G243" s="124"/>
      <c r="H243" s="124"/>
      <c r="I243" s="132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</row>
    <row r="244" hidden="1">
      <c r="A244" s="132"/>
      <c r="B244" s="124"/>
      <c r="C244" s="124"/>
      <c r="D244" s="124"/>
      <c r="E244" s="124"/>
      <c r="F244" s="124"/>
      <c r="G244" s="124"/>
      <c r="H244" s="124"/>
      <c r="I244" s="132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</row>
    <row r="245" hidden="1">
      <c r="A245" s="132"/>
      <c r="B245" s="124"/>
      <c r="C245" s="124"/>
      <c r="D245" s="124"/>
      <c r="E245" s="124"/>
      <c r="F245" s="124"/>
      <c r="G245" s="124"/>
      <c r="H245" s="124"/>
      <c r="I245" s="132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</row>
    <row r="246" hidden="1">
      <c r="A246" s="132"/>
      <c r="B246" s="124"/>
      <c r="C246" s="124"/>
      <c r="D246" s="124"/>
      <c r="E246" s="124"/>
      <c r="F246" s="124"/>
      <c r="G246" s="124"/>
      <c r="H246" s="124"/>
      <c r="I246" s="132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</row>
    <row r="247" hidden="1">
      <c r="A247" s="132"/>
      <c r="B247" s="124"/>
      <c r="C247" s="124"/>
      <c r="D247" s="124"/>
      <c r="E247" s="124"/>
      <c r="F247" s="124"/>
      <c r="G247" s="124"/>
      <c r="H247" s="124"/>
      <c r="I247" s="132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</row>
    <row r="248" hidden="1">
      <c r="A248" s="132"/>
      <c r="B248" s="124"/>
      <c r="C248" s="124"/>
      <c r="D248" s="124"/>
      <c r="E248" s="124"/>
      <c r="F248" s="124"/>
      <c r="G248" s="124"/>
      <c r="H248" s="124"/>
      <c r="I248" s="132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</row>
    <row r="249" hidden="1">
      <c r="A249" s="132"/>
      <c r="B249" s="124"/>
      <c r="C249" s="124"/>
      <c r="D249" s="124"/>
      <c r="E249" s="124"/>
      <c r="F249" s="124"/>
      <c r="G249" s="124"/>
      <c r="H249" s="124"/>
      <c r="I249" s="132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</row>
    <row r="250" hidden="1">
      <c r="A250" s="132"/>
      <c r="B250" s="124"/>
      <c r="C250" s="124"/>
      <c r="D250" s="124"/>
      <c r="E250" s="124"/>
      <c r="F250" s="124"/>
      <c r="G250" s="124"/>
      <c r="H250" s="124"/>
      <c r="I250" s="132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</row>
    <row r="251" hidden="1">
      <c r="A251" s="132"/>
      <c r="B251" s="124"/>
      <c r="C251" s="124"/>
      <c r="D251" s="124"/>
      <c r="E251" s="124"/>
      <c r="F251" s="124"/>
      <c r="G251" s="124"/>
      <c r="H251" s="124"/>
      <c r="I251" s="132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</row>
    <row r="252" hidden="1">
      <c r="A252" s="132"/>
      <c r="B252" s="124"/>
      <c r="C252" s="124"/>
      <c r="D252" s="124"/>
      <c r="E252" s="124"/>
      <c r="F252" s="124"/>
      <c r="G252" s="124"/>
      <c r="H252" s="124"/>
      <c r="I252" s="132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</row>
    <row r="253" hidden="1">
      <c r="A253" s="132"/>
      <c r="B253" s="124"/>
      <c r="C253" s="124"/>
      <c r="D253" s="124"/>
      <c r="E253" s="124"/>
      <c r="F253" s="124"/>
      <c r="G253" s="124"/>
      <c r="H253" s="124"/>
      <c r="I253" s="132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</row>
    <row r="254" hidden="1">
      <c r="A254" s="132"/>
      <c r="B254" s="124"/>
      <c r="C254" s="124"/>
      <c r="D254" s="124"/>
      <c r="E254" s="124"/>
      <c r="F254" s="124"/>
      <c r="G254" s="124"/>
      <c r="H254" s="124"/>
      <c r="I254" s="132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</row>
    <row r="255" hidden="1">
      <c r="A255" s="132"/>
      <c r="B255" s="124"/>
      <c r="C255" s="124"/>
      <c r="D255" s="124"/>
      <c r="E255" s="124"/>
      <c r="F255" s="124"/>
      <c r="G255" s="124"/>
      <c r="H255" s="124"/>
      <c r="I255" s="132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</row>
    <row r="256" hidden="1">
      <c r="A256" s="132"/>
      <c r="B256" s="124"/>
      <c r="C256" s="124"/>
      <c r="D256" s="124"/>
      <c r="E256" s="124"/>
      <c r="F256" s="124"/>
      <c r="G256" s="124"/>
      <c r="H256" s="124"/>
      <c r="I256" s="132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</row>
    <row r="257" hidden="1">
      <c r="A257" s="132"/>
      <c r="B257" s="124"/>
      <c r="C257" s="124"/>
      <c r="D257" s="124"/>
      <c r="E257" s="124"/>
      <c r="F257" s="124"/>
      <c r="G257" s="124"/>
      <c r="H257" s="124"/>
      <c r="I257" s="132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</row>
    <row r="258" hidden="1">
      <c r="A258" s="132"/>
      <c r="B258" s="124"/>
      <c r="C258" s="124"/>
      <c r="D258" s="124"/>
      <c r="E258" s="124"/>
      <c r="F258" s="124"/>
      <c r="G258" s="124"/>
      <c r="H258" s="124"/>
      <c r="I258" s="132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</row>
    <row r="259" hidden="1">
      <c r="A259" s="132"/>
      <c r="B259" s="124"/>
      <c r="C259" s="124"/>
      <c r="D259" s="124"/>
      <c r="E259" s="124"/>
      <c r="F259" s="124"/>
      <c r="G259" s="124"/>
      <c r="H259" s="124"/>
      <c r="I259" s="132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</row>
    <row r="260" hidden="1">
      <c r="A260" s="132"/>
      <c r="B260" s="124"/>
      <c r="C260" s="124"/>
      <c r="D260" s="124"/>
      <c r="E260" s="124"/>
      <c r="F260" s="124"/>
      <c r="G260" s="124"/>
      <c r="H260" s="124"/>
      <c r="I260" s="132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</row>
    <row r="261" hidden="1">
      <c r="A261" s="132"/>
      <c r="B261" s="124"/>
      <c r="C261" s="124"/>
      <c r="D261" s="124"/>
      <c r="E261" s="124"/>
      <c r="F261" s="124"/>
      <c r="G261" s="124"/>
      <c r="H261" s="124"/>
      <c r="I261" s="132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</row>
    <row r="262" hidden="1">
      <c r="A262" s="132"/>
      <c r="B262" s="124"/>
      <c r="C262" s="124"/>
      <c r="D262" s="124"/>
      <c r="E262" s="124"/>
      <c r="F262" s="124"/>
      <c r="G262" s="124"/>
      <c r="H262" s="124"/>
      <c r="I262" s="132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</row>
    <row r="263" hidden="1">
      <c r="A263" s="132"/>
      <c r="B263" s="124"/>
      <c r="C263" s="124"/>
      <c r="D263" s="124"/>
      <c r="E263" s="124"/>
      <c r="F263" s="124"/>
      <c r="G263" s="124"/>
      <c r="H263" s="124"/>
      <c r="I263" s="132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</row>
    <row r="264" hidden="1">
      <c r="A264" s="132"/>
      <c r="B264" s="124"/>
      <c r="C264" s="124"/>
      <c r="D264" s="124"/>
      <c r="E264" s="124"/>
      <c r="F264" s="124"/>
      <c r="G264" s="124"/>
      <c r="H264" s="124"/>
      <c r="I264" s="132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</row>
    <row r="265" hidden="1">
      <c r="A265" s="132"/>
      <c r="B265" s="124"/>
      <c r="C265" s="124"/>
      <c r="D265" s="124"/>
      <c r="E265" s="124"/>
      <c r="F265" s="124"/>
      <c r="G265" s="124"/>
      <c r="H265" s="124"/>
      <c r="I265" s="132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</row>
    <row r="266" hidden="1">
      <c r="A266" s="132"/>
      <c r="B266" s="124"/>
      <c r="C266" s="124"/>
      <c r="D266" s="124"/>
      <c r="E266" s="124"/>
      <c r="F266" s="124"/>
      <c r="G266" s="124"/>
      <c r="H266" s="124"/>
      <c r="I266" s="132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</row>
    <row r="267" hidden="1">
      <c r="A267" s="132"/>
      <c r="B267" s="124"/>
      <c r="C267" s="124"/>
      <c r="D267" s="124"/>
      <c r="E267" s="124"/>
      <c r="F267" s="124"/>
      <c r="G267" s="124"/>
      <c r="H267" s="124"/>
      <c r="I267" s="132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</row>
    <row r="268" hidden="1">
      <c r="A268" s="132"/>
      <c r="B268" s="124"/>
      <c r="C268" s="124"/>
      <c r="D268" s="124"/>
      <c r="E268" s="124"/>
      <c r="F268" s="124"/>
      <c r="G268" s="124"/>
      <c r="H268" s="124"/>
      <c r="I268" s="132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</row>
    <row r="269" hidden="1">
      <c r="A269" s="132"/>
      <c r="B269" s="124"/>
      <c r="C269" s="124"/>
      <c r="D269" s="124"/>
      <c r="E269" s="124"/>
      <c r="F269" s="124"/>
      <c r="G269" s="124"/>
      <c r="H269" s="124"/>
      <c r="I269" s="132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</row>
    <row r="270" hidden="1">
      <c r="A270" s="132"/>
      <c r="B270" s="124"/>
      <c r="C270" s="124"/>
      <c r="D270" s="124"/>
      <c r="E270" s="124"/>
      <c r="F270" s="124"/>
      <c r="G270" s="124"/>
      <c r="H270" s="124"/>
      <c r="I270" s="132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</row>
    <row r="271" hidden="1">
      <c r="A271" s="132"/>
      <c r="B271" s="124"/>
      <c r="C271" s="124"/>
      <c r="D271" s="124"/>
      <c r="E271" s="124"/>
      <c r="F271" s="124"/>
      <c r="G271" s="124"/>
      <c r="H271" s="124"/>
      <c r="I271" s="132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</row>
    <row r="272" hidden="1">
      <c r="A272" s="132"/>
      <c r="B272" s="124"/>
      <c r="C272" s="124"/>
      <c r="D272" s="124"/>
      <c r="E272" s="124"/>
      <c r="F272" s="124"/>
      <c r="G272" s="124"/>
      <c r="H272" s="124"/>
      <c r="I272" s="132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</row>
    <row r="273" hidden="1">
      <c r="A273" s="132"/>
      <c r="B273" s="124"/>
      <c r="C273" s="124"/>
      <c r="D273" s="124"/>
      <c r="E273" s="124"/>
      <c r="F273" s="124"/>
      <c r="G273" s="124"/>
      <c r="H273" s="124"/>
      <c r="I273" s="132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</row>
    <row r="274" hidden="1">
      <c r="A274" s="132"/>
      <c r="B274" s="124"/>
      <c r="C274" s="124"/>
      <c r="D274" s="124"/>
      <c r="E274" s="124"/>
      <c r="F274" s="124"/>
      <c r="G274" s="124"/>
      <c r="H274" s="124"/>
      <c r="I274" s="132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</row>
    <row r="275" hidden="1">
      <c r="A275" s="132"/>
      <c r="B275" s="124"/>
      <c r="C275" s="124"/>
      <c r="D275" s="124"/>
      <c r="E275" s="124"/>
      <c r="F275" s="124"/>
      <c r="G275" s="124"/>
      <c r="H275" s="124"/>
      <c r="I275" s="132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</row>
    <row r="276" hidden="1">
      <c r="A276" s="132"/>
      <c r="B276" s="124"/>
      <c r="C276" s="124"/>
      <c r="D276" s="124"/>
      <c r="E276" s="124"/>
      <c r="F276" s="124"/>
      <c r="G276" s="124"/>
      <c r="H276" s="124"/>
      <c r="I276" s="132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</row>
    <row r="277" hidden="1">
      <c r="A277" s="132"/>
      <c r="B277" s="124"/>
      <c r="C277" s="124"/>
      <c r="D277" s="124"/>
      <c r="E277" s="124"/>
      <c r="F277" s="124"/>
      <c r="G277" s="124"/>
      <c r="H277" s="124"/>
      <c r="I277" s="132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</row>
    <row r="278" hidden="1">
      <c r="A278" s="132"/>
      <c r="B278" s="124"/>
      <c r="C278" s="124"/>
      <c r="D278" s="124"/>
      <c r="E278" s="124"/>
      <c r="F278" s="124"/>
      <c r="G278" s="124"/>
      <c r="H278" s="124"/>
      <c r="I278" s="132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</row>
    <row r="279" hidden="1">
      <c r="A279" s="132"/>
      <c r="B279" s="124"/>
      <c r="C279" s="124"/>
      <c r="D279" s="124"/>
      <c r="E279" s="124"/>
      <c r="F279" s="124"/>
      <c r="G279" s="124"/>
      <c r="H279" s="124"/>
      <c r="I279" s="132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</row>
    <row r="280" hidden="1">
      <c r="A280" s="132"/>
      <c r="B280" s="124"/>
      <c r="C280" s="124"/>
      <c r="D280" s="124"/>
      <c r="E280" s="124"/>
      <c r="F280" s="124"/>
      <c r="G280" s="124"/>
      <c r="H280" s="124"/>
      <c r="I280" s="132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</row>
    <row r="281" hidden="1">
      <c r="A281" s="132"/>
      <c r="B281" s="124"/>
      <c r="C281" s="124"/>
      <c r="D281" s="124"/>
      <c r="E281" s="124"/>
      <c r="F281" s="124"/>
      <c r="G281" s="124"/>
      <c r="H281" s="124"/>
      <c r="I281" s="132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</row>
    <row r="282" hidden="1">
      <c r="A282" s="132"/>
      <c r="B282" s="124"/>
      <c r="C282" s="124"/>
      <c r="D282" s="124"/>
      <c r="E282" s="124"/>
      <c r="F282" s="124"/>
      <c r="G282" s="124"/>
      <c r="H282" s="124"/>
      <c r="I282" s="132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</row>
    <row r="283" hidden="1">
      <c r="A283" s="132"/>
      <c r="B283" s="124"/>
      <c r="C283" s="124"/>
      <c r="D283" s="124"/>
      <c r="E283" s="124"/>
      <c r="F283" s="124"/>
      <c r="G283" s="124"/>
      <c r="H283" s="124"/>
      <c r="I283" s="132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</row>
    <row r="284" hidden="1">
      <c r="A284" s="132"/>
      <c r="B284" s="124"/>
      <c r="C284" s="124"/>
      <c r="D284" s="124"/>
      <c r="E284" s="124"/>
      <c r="F284" s="124"/>
      <c r="G284" s="124"/>
      <c r="H284" s="124"/>
      <c r="I284" s="132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</row>
    <row r="285" hidden="1">
      <c r="A285" s="132"/>
      <c r="B285" s="124"/>
      <c r="C285" s="124"/>
      <c r="D285" s="124"/>
      <c r="E285" s="124"/>
      <c r="F285" s="124"/>
      <c r="G285" s="124"/>
      <c r="H285" s="124"/>
      <c r="I285" s="132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</row>
    <row r="286" hidden="1">
      <c r="A286" s="132"/>
      <c r="B286" s="124"/>
      <c r="C286" s="124"/>
      <c r="D286" s="124"/>
      <c r="E286" s="124"/>
      <c r="F286" s="124"/>
      <c r="G286" s="124"/>
      <c r="H286" s="124"/>
      <c r="I286" s="132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</row>
    <row r="287" hidden="1">
      <c r="A287" s="132"/>
      <c r="B287" s="124"/>
      <c r="C287" s="124"/>
      <c r="D287" s="124"/>
      <c r="E287" s="124"/>
      <c r="F287" s="124"/>
      <c r="G287" s="124"/>
      <c r="H287" s="124"/>
      <c r="I287" s="132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</row>
    <row r="288" hidden="1">
      <c r="A288" s="132"/>
      <c r="B288" s="124"/>
      <c r="C288" s="124"/>
      <c r="D288" s="124"/>
      <c r="E288" s="124"/>
      <c r="F288" s="124"/>
      <c r="G288" s="124"/>
      <c r="H288" s="124"/>
      <c r="I288" s="132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</row>
    <row r="289" hidden="1">
      <c r="A289" s="132"/>
      <c r="B289" s="124"/>
      <c r="C289" s="124"/>
      <c r="D289" s="124"/>
      <c r="E289" s="124"/>
      <c r="F289" s="124"/>
      <c r="G289" s="124"/>
      <c r="H289" s="124"/>
      <c r="I289" s="132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</row>
    <row r="290" hidden="1">
      <c r="A290" s="132"/>
      <c r="B290" s="124"/>
      <c r="C290" s="124"/>
      <c r="D290" s="124"/>
      <c r="E290" s="124"/>
      <c r="F290" s="124"/>
      <c r="G290" s="124"/>
      <c r="H290" s="124"/>
      <c r="I290" s="132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</row>
    <row r="291" hidden="1">
      <c r="A291" s="132"/>
      <c r="B291" s="124"/>
      <c r="C291" s="124"/>
      <c r="D291" s="124"/>
      <c r="E291" s="124"/>
      <c r="F291" s="124"/>
      <c r="G291" s="124"/>
      <c r="H291" s="124"/>
      <c r="I291" s="132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</row>
    <row r="292" hidden="1">
      <c r="A292" s="132"/>
      <c r="B292" s="124"/>
      <c r="C292" s="124"/>
      <c r="D292" s="124"/>
      <c r="E292" s="124"/>
      <c r="F292" s="124"/>
      <c r="G292" s="124"/>
      <c r="H292" s="124"/>
      <c r="I292" s="132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</row>
    <row r="293" hidden="1">
      <c r="A293" s="132"/>
      <c r="B293" s="124"/>
      <c r="C293" s="124"/>
      <c r="D293" s="124"/>
      <c r="E293" s="124"/>
      <c r="F293" s="124"/>
      <c r="G293" s="124"/>
      <c r="H293" s="124"/>
      <c r="I293" s="132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</row>
    <row r="294" hidden="1">
      <c r="A294" s="132"/>
      <c r="B294" s="124"/>
      <c r="C294" s="124"/>
      <c r="D294" s="124"/>
      <c r="E294" s="124"/>
      <c r="F294" s="124"/>
      <c r="G294" s="124"/>
      <c r="H294" s="124"/>
      <c r="I294" s="132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</row>
    <row r="295" hidden="1">
      <c r="A295" s="132"/>
      <c r="B295" s="124"/>
      <c r="C295" s="124"/>
      <c r="D295" s="124"/>
      <c r="E295" s="124"/>
      <c r="F295" s="124"/>
      <c r="G295" s="124"/>
      <c r="H295" s="124"/>
      <c r="I295" s="132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</row>
    <row r="296" hidden="1">
      <c r="A296" s="132"/>
      <c r="B296" s="124"/>
      <c r="C296" s="124"/>
      <c r="D296" s="124"/>
      <c r="E296" s="124"/>
      <c r="F296" s="124"/>
      <c r="G296" s="124"/>
      <c r="H296" s="124"/>
      <c r="I296" s="132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</row>
    <row r="297" hidden="1">
      <c r="A297" s="132"/>
      <c r="B297" s="124"/>
      <c r="C297" s="124"/>
      <c r="D297" s="124"/>
      <c r="E297" s="124"/>
      <c r="F297" s="124"/>
      <c r="G297" s="124"/>
      <c r="H297" s="124"/>
      <c r="I297" s="132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</row>
    <row r="298" hidden="1">
      <c r="A298" s="132"/>
      <c r="B298" s="124"/>
      <c r="C298" s="124"/>
      <c r="D298" s="124"/>
      <c r="E298" s="124"/>
      <c r="F298" s="124"/>
      <c r="G298" s="124"/>
      <c r="H298" s="124"/>
      <c r="I298" s="132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</row>
    <row r="299" hidden="1">
      <c r="A299" s="132"/>
      <c r="B299" s="124"/>
      <c r="C299" s="124"/>
      <c r="D299" s="124"/>
      <c r="E299" s="124"/>
      <c r="F299" s="124"/>
      <c r="G299" s="124"/>
      <c r="H299" s="124"/>
      <c r="I299" s="132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</row>
    <row r="300" hidden="1">
      <c r="A300" s="132"/>
      <c r="B300" s="124"/>
      <c r="C300" s="124"/>
      <c r="D300" s="124"/>
      <c r="E300" s="124"/>
      <c r="F300" s="124"/>
      <c r="G300" s="124"/>
      <c r="H300" s="124"/>
      <c r="I300" s="132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</row>
    <row r="301" hidden="1">
      <c r="A301" s="132"/>
      <c r="B301" s="124"/>
      <c r="C301" s="124"/>
      <c r="D301" s="124"/>
      <c r="E301" s="124"/>
      <c r="F301" s="124"/>
      <c r="G301" s="124"/>
      <c r="H301" s="124"/>
      <c r="I301" s="132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</row>
    <row r="302" hidden="1">
      <c r="A302" s="132"/>
      <c r="B302" s="124"/>
      <c r="C302" s="124"/>
      <c r="D302" s="124"/>
      <c r="E302" s="124"/>
      <c r="F302" s="124"/>
      <c r="G302" s="124"/>
      <c r="H302" s="124"/>
      <c r="I302" s="132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</row>
    <row r="303" hidden="1">
      <c r="A303" s="132"/>
      <c r="B303" s="124"/>
      <c r="C303" s="124"/>
      <c r="D303" s="124"/>
      <c r="E303" s="124"/>
      <c r="F303" s="124"/>
      <c r="G303" s="124"/>
      <c r="H303" s="124"/>
      <c r="I303" s="132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</row>
    <row r="304" hidden="1">
      <c r="A304" s="132"/>
      <c r="B304" s="124"/>
      <c r="C304" s="124"/>
      <c r="D304" s="124"/>
      <c r="E304" s="124"/>
      <c r="F304" s="124"/>
      <c r="G304" s="124"/>
      <c r="H304" s="124"/>
      <c r="I304" s="132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</row>
    <row r="305" hidden="1">
      <c r="A305" s="132"/>
      <c r="B305" s="124"/>
      <c r="C305" s="124"/>
      <c r="D305" s="124"/>
      <c r="E305" s="124"/>
      <c r="F305" s="124"/>
      <c r="G305" s="124"/>
      <c r="H305" s="124"/>
      <c r="I305" s="132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</row>
    <row r="306" hidden="1">
      <c r="A306" s="132"/>
      <c r="B306" s="124"/>
      <c r="C306" s="124"/>
      <c r="D306" s="124"/>
      <c r="E306" s="124"/>
      <c r="F306" s="124"/>
      <c r="G306" s="124"/>
      <c r="H306" s="124"/>
      <c r="I306" s="132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</row>
    <row r="307" hidden="1">
      <c r="A307" s="132"/>
      <c r="B307" s="124"/>
      <c r="C307" s="124"/>
      <c r="D307" s="124"/>
      <c r="E307" s="124"/>
      <c r="F307" s="124"/>
      <c r="G307" s="124"/>
      <c r="H307" s="124"/>
      <c r="I307" s="132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</row>
    <row r="308" hidden="1">
      <c r="A308" s="132"/>
      <c r="B308" s="124"/>
      <c r="C308" s="124"/>
      <c r="D308" s="124"/>
      <c r="E308" s="124"/>
      <c r="F308" s="124"/>
      <c r="G308" s="124"/>
      <c r="H308" s="124"/>
      <c r="I308" s="132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</row>
    <row r="309" hidden="1">
      <c r="A309" s="132"/>
      <c r="B309" s="124"/>
      <c r="C309" s="124"/>
      <c r="D309" s="124"/>
      <c r="E309" s="124"/>
      <c r="F309" s="124"/>
      <c r="G309" s="124"/>
      <c r="H309" s="124"/>
      <c r="I309" s="132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</row>
    <row r="310" hidden="1">
      <c r="A310" s="132"/>
      <c r="B310" s="124"/>
      <c r="C310" s="124"/>
      <c r="D310" s="124"/>
      <c r="E310" s="124"/>
      <c r="F310" s="124"/>
      <c r="G310" s="124"/>
      <c r="H310" s="124"/>
      <c r="I310" s="132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</row>
    <row r="311" hidden="1">
      <c r="A311" s="132"/>
      <c r="B311" s="124"/>
      <c r="C311" s="124"/>
      <c r="D311" s="124"/>
      <c r="E311" s="124"/>
      <c r="F311" s="124"/>
      <c r="G311" s="124"/>
      <c r="H311" s="124"/>
      <c r="I311" s="132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</row>
    <row r="312" hidden="1">
      <c r="A312" s="132"/>
      <c r="B312" s="124"/>
      <c r="C312" s="124"/>
      <c r="D312" s="124"/>
      <c r="E312" s="124"/>
      <c r="F312" s="124"/>
      <c r="G312" s="124"/>
      <c r="H312" s="124"/>
      <c r="I312" s="132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</row>
    <row r="313" hidden="1">
      <c r="A313" s="132"/>
      <c r="B313" s="124"/>
      <c r="C313" s="124"/>
      <c r="D313" s="124"/>
      <c r="E313" s="124"/>
      <c r="F313" s="124"/>
      <c r="G313" s="124"/>
      <c r="H313" s="124"/>
      <c r="I313" s="132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</row>
    <row r="314" hidden="1">
      <c r="A314" s="132"/>
      <c r="B314" s="124"/>
      <c r="C314" s="124"/>
      <c r="D314" s="124"/>
      <c r="E314" s="124"/>
      <c r="F314" s="124"/>
      <c r="G314" s="124"/>
      <c r="H314" s="124"/>
      <c r="I314" s="132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</row>
    <row r="315" hidden="1">
      <c r="A315" s="132"/>
      <c r="B315" s="124"/>
      <c r="C315" s="124"/>
      <c r="D315" s="124"/>
      <c r="E315" s="124"/>
      <c r="F315" s="124"/>
      <c r="G315" s="124"/>
      <c r="H315" s="124"/>
      <c r="I315" s="132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</row>
    <row r="316" hidden="1">
      <c r="A316" s="132"/>
      <c r="B316" s="124"/>
      <c r="C316" s="124"/>
      <c r="D316" s="124"/>
      <c r="E316" s="124"/>
      <c r="F316" s="124"/>
      <c r="G316" s="124"/>
      <c r="H316" s="124"/>
      <c r="I316" s="132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</row>
    <row r="317" hidden="1">
      <c r="A317" s="132"/>
      <c r="B317" s="124"/>
      <c r="C317" s="124"/>
      <c r="D317" s="124"/>
      <c r="E317" s="124"/>
      <c r="F317" s="124"/>
      <c r="G317" s="124"/>
      <c r="H317" s="124"/>
      <c r="I317" s="132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</row>
    <row r="318" hidden="1">
      <c r="A318" s="132"/>
      <c r="B318" s="124"/>
      <c r="C318" s="124"/>
      <c r="D318" s="124"/>
      <c r="E318" s="124"/>
      <c r="F318" s="124"/>
      <c r="G318" s="124"/>
      <c r="H318" s="124"/>
      <c r="I318" s="132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</row>
    <row r="319" hidden="1">
      <c r="A319" s="132"/>
      <c r="B319" s="124"/>
      <c r="C319" s="124"/>
      <c r="D319" s="124"/>
      <c r="E319" s="124"/>
      <c r="F319" s="124"/>
      <c r="G319" s="124"/>
      <c r="H319" s="124"/>
      <c r="I319" s="132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</row>
    <row r="320" hidden="1">
      <c r="A320" s="132"/>
      <c r="B320" s="124"/>
      <c r="C320" s="124"/>
      <c r="D320" s="124"/>
      <c r="E320" s="124"/>
      <c r="F320" s="124"/>
      <c r="G320" s="124"/>
      <c r="H320" s="124"/>
      <c r="I320" s="132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</row>
    <row r="321" hidden="1">
      <c r="A321" s="132"/>
      <c r="B321" s="124"/>
      <c r="C321" s="124"/>
      <c r="D321" s="124"/>
      <c r="E321" s="124"/>
      <c r="F321" s="124"/>
      <c r="G321" s="124"/>
      <c r="H321" s="124"/>
      <c r="I321" s="132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</row>
    <row r="322" hidden="1">
      <c r="A322" s="132"/>
      <c r="B322" s="124"/>
      <c r="C322" s="124"/>
      <c r="D322" s="124"/>
      <c r="E322" s="124"/>
      <c r="F322" s="124"/>
      <c r="G322" s="124"/>
      <c r="H322" s="124"/>
      <c r="I322" s="132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</row>
    <row r="323" hidden="1">
      <c r="A323" s="132"/>
      <c r="B323" s="124"/>
      <c r="C323" s="124"/>
      <c r="D323" s="124"/>
      <c r="E323" s="124"/>
      <c r="F323" s="124"/>
      <c r="G323" s="124"/>
      <c r="H323" s="124"/>
      <c r="I323" s="132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</row>
    <row r="324" hidden="1">
      <c r="A324" s="132"/>
      <c r="B324" s="124"/>
      <c r="C324" s="124"/>
      <c r="D324" s="124"/>
      <c r="E324" s="124"/>
      <c r="F324" s="124"/>
      <c r="G324" s="124"/>
      <c r="H324" s="124"/>
      <c r="I324" s="132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</row>
    <row r="325" hidden="1">
      <c r="A325" s="132"/>
      <c r="B325" s="124"/>
      <c r="C325" s="124"/>
      <c r="D325" s="124"/>
      <c r="E325" s="124"/>
      <c r="F325" s="124"/>
      <c r="G325" s="124"/>
      <c r="H325" s="124"/>
      <c r="I325" s="132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</row>
    <row r="326" hidden="1">
      <c r="A326" s="132"/>
      <c r="B326" s="124"/>
      <c r="C326" s="124"/>
      <c r="D326" s="124"/>
      <c r="E326" s="124"/>
      <c r="F326" s="124"/>
      <c r="G326" s="124"/>
      <c r="H326" s="124"/>
      <c r="I326" s="132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</row>
    <row r="327" hidden="1">
      <c r="A327" s="132"/>
      <c r="B327" s="124"/>
      <c r="C327" s="124"/>
      <c r="D327" s="124"/>
      <c r="E327" s="124"/>
      <c r="F327" s="124"/>
      <c r="G327" s="124"/>
      <c r="H327" s="124"/>
      <c r="I327" s="132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</row>
    <row r="328" hidden="1">
      <c r="A328" s="132"/>
      <c r="B328" s="124"/>
      <c r="C328" s="124"/>
      <c r="D328" s="124"/>
      <c r="E328" s="124"/>
      <c r="F328" s="124"/>
      <c r="G328" s="124"/>
      <c r="H328" s="124"/>
      <c r="I328" s="132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</row>
    <row r="329" hidden="1">
      <c r="A329" s="132"/>
      <c r="B329" s="124"/>
      <c r="C329" s="124"/>
      <c r="D329" s="124"/>
      <c r="E329" s="124"/>
      <c r="F329" s="124"/>
      <c r="G329" s="124"/>
      <c r="H329" s="124"/>
      <c r="I329" s="132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</row>
    <row r="330" hidden="1">
      <c r="A330" s="132"/>
      <c r="B330" s="124"/>
      <c r="C330" s="124"/>
      <c r="D330" s="124"/>
      <c r="E330" s="124"/>
      <c r="F330" s="124"/>
      <c r="G330" s="124"/>
      <c r="H330" s="124"/>
      <c r="I330" s="132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</row>
    <row r="331" hidden="1">
      <c r="A331" s="132"/>
      <c r="B331" s="124"/>
      <c r="C331" s="124"/>
      <c r="D331" s="124"/>
      <c r="E331" s="124"/>
      <c r="F331" s="124"/>
      <c r="G331" s="124"/>
      <c r="H331" s="124"/>
      <c r="I331" s="132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</row>
    <row r="332" hidden="1">
      <c r="A332" s="132"/>
      <c r="B332" s="124"/>
      <c r="C332" s="124"/>
      <c r="D332" s="124"/>
      <c r="E332" s="124"/>
      <c r="F332" s="124"/>
      <c r="G332" s="124"/>
      <c r="H332" s="124"/>
      <c r="I332" s="132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</row>
    <row r="333" hidden="1">
      <c r="A333" s="132"/>
      <c r="B333" s="124"/>
      <c r="C333" s="124"/>
      <c r="D333" s="124"/>
      <c r="E333" s="124"/>
      <c r="F333" s="124"/>
      <c r="G333" s="124"/>
      <c r="H333" s="124"/>
      <c r="I333" s="132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</row>
    <row r="334" hidden="1">
      <c r="A334" s="132"/>
      <c r="B334" s="124"/>
      <c r="C334" s="124"/>
      <c r="D334" s="124"/>
      <c r="E334" s="124"/>
      <c r="F334" s="124"/>
      <c r="G334" s="124"/>
      <c r="H334" s="124"/>
      <c r="I334" s="132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</row>
    <row r="335" hidden="1">
      <c r="A335" s="132"/>
      <c r="B335" s="124"/>
      <c r="C335" s="124"/>
      <c r="D335" s="124"/>
      <c r="E335" s="124"/>
      <c r="F335" s="124"/>
      <c r="G335" s="124"/>
      <c r="H335" s="124"/>
      <c r="I335" s="132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</row>
    <row r="336" hidden="1">
      <c r="A336" s="132"/>
      <c r="B336" s="124"/>
      <c r="C336" s="124"/>
      <c r="D336" s="124"/>
      <c r="E336" s="124"/>
      <c r="F336" s="124"/>
      <c r="G336" s="124"/>
      <c r="H336" s="124"/>
      <c r="I336" s="132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</row>
    <row r="337" hidden="1">
      <c r="A337" s="132"/>
      <c r="B337" s="124"/>
      <c r="C337" s="124"/>
      <c r="D337" s="124"/>
      <c r="E337" s="124"/>
      <c r="F337" s="124"/>
      <c r="G337" s="124"/>
      <c r="H337" s="124"/>
      <c r="I337" s="132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</row>
    <row r="338" hidden="1">
      <c r="A338" s="132"/>
      <c r="B338" s="124"/>
      <c r="C338" s="124"/>
      <c r="D338" s="124"/>
      <c r="E338" s="124"/>
      <c r="F338" s="124"/>
      <c r="G338" s="124"/>
      <c r="H338" s="124"/>
      <c r="I338" s="132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</row>
    <row r="339" hidden="1">
      <c r="A339" s="132"/>
      <c r="B339" s="124"/>
      <c r="C339" s="124"/>
      <c r="D339" s="124"/>
      <c r="E339" s="124"/>
      <c r="F339" s="124"/>
      <c r="G339" s="124"/>
      <c r="H339" s="124"/>
      <c r="I339" s="132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</row>
    <row r="340" hidden="1">
      <c r="A340" s="132"/>
      <c r="B340" s="124"/>
      <c r="C340" s="124"/>
      <c r="D340" s="124"/>
      <c r="E340" s="124"/>
      <c r="F340" s="124"/>
      <c r="G340" s="124"/>
      <c r="H340" s="124"/>
      <c r="I340" s="132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</row>
    <row r="341" hidden="1">
      <c r="A341" s="132"/>
      <c r="B341" s="124"/>
      <c r="C341" s="124"/>
      <c r="D341" s="124"/>
      <c r="E341" s="124"/>
      <c r="F341" s="124"/>
      <c r="G341" s="124"/>
      <c r="H341" s="124"/>
      <c r="I341" s="132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</row>
    <row r="342" hidden="1">
      <c r="A342" s="132"/>
      <c r="B342" s="124"/>
      <c r="C342" s="124"/>
      <c r="D342" s="124"/>
      <c r="E342" s="124"/>
      <c r="F342" s="124"/>
      <c r="G342" s="124"/>
      <c r="H342" s="124"/>
      <c r="I342" s="132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</row>
    <row r="343" hidden="1">
      <c r="A343" s="132"/>
      <c r="B343" s="124"/>
      <c r="C343" s="124"/>
      <c r="D343" s="124"/>
      <c r="E343" s="124"/>
      <c r="F343" s="124"/>
      <c r="G343" s="124"/>
      <c r="H343" s="124"/>
      <c r="I343" s="132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</row>
    <row r="344" hidden="1">
      <c r="A344" s="132"/>
      <c r="B344" s="124"/>
      <c r="C344" s="124"/>
      <c r="D344" s="124"/>
      <c r="E344" s="124"/>
      <c r="F344" s="124"/>
      <c r="G344" s="124"/>
      <c r="H344" s="124"/>
      <c r="I344" s="132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</row>
    <row r="345" hidden="1">
      <c r="A345" s="132"/>
      <c r="B345" s="124"/>
      <c r="C345" s="124"/>
      <c r="D345" s="124"/>
      <c r="E345" s="124"/>
      <c r="F345" s="124"/>
      <c r="G345" s="124"/>
      <c r="H345" s="124"/>
      <c r="I345" s="132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</row>
    <row r="346" hidden="1">
      <c r="A346" s="132"/>
      <c r="B346" s="124"/>
      <c r="C346" s="124"/>
      <c r="D346" s="124"/>
      <c r="E346" s="124"/>
      <c r="F346" s="124"/>
      <c r="G346" s="124"/>
      <c r="H346" s="124"/>
      <c r="I346" s="132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</row>
    <row r="347" hidden="1">
      <c r="A347" s="132"/>
      <c r="B347" s="124"/>
      <c r="C347" s="124"/>
      <c r="D347" s="124"/>
      <c r="E347" s="124"/>
      <c r="F347" s="124"/>
      <c r="G347" s="124"/>
      <c r="H347" s="124"/>
      <c r="I347" s="132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</row>
    <row r="348" hidden="1">
      <c r="A348" s="132"/>
      <c r="B348" s="124"/>
      <c r="C348" s="124"/>
      <c r="D348" s="124"/>
      <c r="E348" s="124"/>
      <c r="F348" s="124"/>
      <c r="G348" s="124"/>
      <c r="H348" s="124"/>
      <c r="I348" s="132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</row>
    <row r="349" hidden="1">
      <c r="A349" s="132"/>
      <c r="B349" s="124"/>
      <c r="C349" s="124"/>
      <c r="D349" s="124"/>
      <c r="E349" s="124"/>
      <c r="F349" s="124"/>
      <c r="G349" s="124"/>
      <c r="H349" s="124"/>
      <c r="I349" s="132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</row>
    <row r="350" hidden="1">
      <c r="A350" s="132"/>
      <c r="B350" s="124"/>
      <c r="C350" s="124"/>
      <c r="D350" s="124"/>
      <c r="E350" s="124"/>
      <c r="F350" s="124"/>
      <c r="G350" s="124"/>
      <c r="H350" s="124"/>
      <c r="I350" s="132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</row>
    <row r="351" hidden="1">
      <c r="A351" s="132"/>
      <c r="B351" s="124"/>
      <c r="C351" s="124"/>
      <c r="D351" s="124"/>
      <c r="E351" s="124"/>
      <c r="F351" s="124"/>
      <c r="G351" s="124"/>
      <c r="H351" s="124"/>
      <c r="I351" s="132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</row>
    <row r="352" hidden="1">
      <c r="A352" s="132"/>
      <c r="B352" s="124"/>
      <c r="C352" s="124"/>
      <c r="D352" s="124"/>
      <c r="E352" s="124"/>
      <c r="F352" s="124"/>
      <c r="G352" s="124"/>
      <c r="H352" s="124"/>
      <c r="I352" s="132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</row>
    <row r="353" hidden="1">
      <c r="A353" s="132"/>
      <c r="B353" s="124"/>
      <c r="C353" s="124"/>
      <c r="D353" s="124"/>
      <c r="E353" s="124"/>
      <c r="F353" s="124"/>
      <c r="G353" s="124"/>
      <c r="H353" s="124"/>
      <c r="I353" s="132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</row>
    <row r="354" hidden="1">
      <c r="A354" s="132"/>
      <c r="B354" s="124"/>
      <c r="C354" s="124"/>
      <c r="D354" s="124"/>
      <c r="E354" s="124"/>
      <c r="F354" s="124"/>
      <c r="G354" s="124"/>
      <c r="H354" s="124"/>
      <c r="I354" s="132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</row>
    <row r="355" hidden="1">
      <c r="A355" s="132"/>
      <c r="B355" s="124"/>
      <c r="C355" s="124"/>
      <c r="D355" s="124"/>
      <c r="E355" s="124"/>
      <c r="F355" s="124"/>
      <c r="G355" s="124"/>
      <c r="H355" s="124"/>
      <c r="I355" s="132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</row>
    <row r="356" hidden="1">
      <c r="A356" s="132"/>
      <c r="B356" s="124"/>
      <c r="C356" s="124"/>
      <c r="D356" s="124"/>
      <c r="E356" s="124"/>
      <c r="F356" s="124"/>
      <c r="G356" s="124"/>
      <c r="H356" s="124"/>
      <c r="I356" s="132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</row>
    <row r="357" hidden="1">
      <c r="A357" s="132"/>
      <c r="B357" s="124"/>
      <c r="C357" s="124"/>
      <c r="D357" s="124"/>
      <c r="E357" s="124"/>
      <c r="F357" s="124"/>
      <c r="G357" s="124"/>
      <c r="H357" s="124"/>
      <c r="I357" s="132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</row>
    <row r="358" hidden="1">
      <c r="A358" s="132"/>
      <c r="B358" s="124"/>
      <c r="C358" s="124"/>
      <c r="D358" s="124"/>
      <c r="E358" s="124"/>
      <c r="F358" s="124"/>
      <c r="G358" s="124"/>
      <c r="H358" s="124"/>
      <c r="I358" s="132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</row>
    <row r="359" hidden="1">
      <c r="A359" s="132"/>
      <c r="B359" s="124"/>
      <c r="C359" s="124"/>
      <c r="D359" s="124"/>
      <c r="E359" s="124"/>
      <c r="F359" s="124"/>
      <c r="G359" s="124"/>
      <c r="H359" s="124"/>
      <c r="I359" s="132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</row>
    <row r="360" hidden="1">
      <c r="A360" s="132"/>
      <c r="B360" s="124"/>
      <c r="C360" s="124"/>
      <c r="D360" s="124"/>
      <c r="E360" s="124"/>
      <c r="F360" s="124"/>
      <c r="G360" s="124"/>
      <c r="H360" s="124"/>
      <c r="I360" s="132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</row>
    <row r="361" hidden="1">
      <c r="A361" s="132"/>
      <c r="B361" s="124"/>
      <c r="C361" s="124"/>
      <c r="D361" s="124"/>
      <c r="E361" s="124"/>
      <c r="F361" s="124"/>
      <c r="G361" s="124"/>
      <c r="H361" s="124"/>
      <c r="I361" s="132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</row>
    <row r="362" hidden="1">
      <c r="A362" s="132"/>
      <c r="B362" s="124"/>
      <c r="C362" s="124"/>
      <c r="D362" s="124"/>
      <c r="E362" s="124"/>
      <c r="F362" s="124"/>
      <c r="G362" s="124"/>
      <c r="H362" s="124"/>
      <c r="I362" s="132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</row>
    <row r="363" hidden="1">
      <c r="A363" s="132"/>
      <c r="B363" s="124"/>
      <c r="C363" s="124"/>
      <c r="D363" s="124"/>
      <c r="E363" s="124"/>
      <c r="F363" s="124"/>
      <c r="G363" s="124"/>
      <c r="H363" s="124"/>
      <c r="I363" s="132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</row>
    <row r="364" hidden="1">
      <c r="A364" s="132"/>
      <c r="B364" s="124"/>
      <c r="C364" s="124"/>
      <c r="D364" s="124"/>
      <c r="E364" s="124"/>
      <c r="F364" s="124"/>
      <c r="G364" s="124"/>
      <c r="H364" s="124"/>
      <c r="I364" s="132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</row>
    <row r="365" hidden="1">
      <c r="A365" s="132"/>
      <c r="B365" s="124"/>
      <c r="C365" s="124"/>
      <c r="D365" s="124"/>
      <c r="E365" s="124"/>
      <c r="F365" s="124"/>
      <c r="G365" s="124"/>
      <c r="H365" s="124"/>
      <c r="I365" s="132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</row>
    <row r="366" hidden="1">
      <c r="A366" s="132"/>
      <c r="B366" s="124"/>
      <c r="C366" s="124"/>
      <c r="D366" s="124"/>
      <c r="E366" s="124"/>
      <c r="F366" s="124"/>
      <c r="G366" s="124"/>
      <c r="H366" s="124"/>
      <c r="I366" s="132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</row>
    <row r="367" hidden="1">
      <c r="A367" s="132"/>
      <c r="B367" s="124"/>
      <c r="C367" s="124"/>
      <c r="D367" s="124"/>
      <c r="E367" s="124"/>
      <c r="F367" s="124"/>
      <c r="G367" s="124"/>
      <c r="H367" s="124"/>
      <c r="I367" s="132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</row>
    <row r="368" hidden="1">
      <c r="A368" s="132"/>
      <c r="B368" s="124"/>
      <c r="C368" s="124"/>
      <c r="D368" s="124"/>
      <c r="E368" s="124"/>
      <c r="F368" s="124"/>
      <c r="G368" s="124"/>
      <c r="H368" s="124"/>
      <c r="I368" s="132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</row>
    <row r="369" hidden="1">
      <c r="A369" s="132"/>
      <c r="B369" s="124"/>
      <c r="C369" s="124"/>
      <c r="D369" s="124"/>
      <c r="E369" s="124"/>
      <c r="F369" s="124"/>
      <c r="G369" s="124"/>
      <c r="H369" s="124"/>
      <c r="I369" s="132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</row>
    <row r="370" hidden="1">
      <c r="A370" s="132"/>
      <c r="B370" s="124"/>
      <c r="C370" s="124"/>
      <c r="D370" s="124"/>
      <c r="E370" s="124"/>
      <c r="F370" s="124"/>
      <c r="G370" s="124"/>
      <c r="H370" s="124"/>
      <c r="I370" s="132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</row>
    <row r="371" hidden="1">
      <c r="A371" s="132"/>
      <c r="B371" s="124"/>
      <c r="C371" s="124"/>
      <c r="D371" s="124"/>
      <c r="E371" s="124"/>
      <c r="F371" s="124"/>
      <c r="G371" s="124"/>
      <c r="H371" s="124"/>
      <c r="I371" s="132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</row>
    <row r="372" hidden="1">
      <c r="A372" s="132"/>
      <c r="B372" s="124"/>
      <c r="C372" s="124"/>
      <c r="D372" s="124"/>
      <c r="E372" s="124"/>
      <c r="F372" s="124"/>
      <c r="G372" s="124"/>
      <c r="H372" s="124"/>
      <c r="I372" s="132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</row>
    <row r="373" hidden="1">
      <c r="A373" s="132"/>
      <c r="B373" s="124"/>
      <c r="C373" s="124"/>
      <c r="D373" s="124"/>
      <c r="E373" s="124"/>
      <c r="F373" s="124"/>
      <c r="G373" s="124"/>
      <c r="H373" s="124"/>
      <c r="I373" s="132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</row>
    <row r="374" hidden="1">
      <c r="A374" s="132"/>
      <c r="B374" s="124"/>
      <c r="C374" s="124"/>
      <c r="D374" s="124"/>
      <c r="E374" s="124"/>
      <c r="F374" s="124"/>
      <c r="G374" s="124"/>
      <c r="H374" s="124"/>
      <c r="I374" s="132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</row>
    <row r="375" hidden="1">
      <c r="A375" s="132"/>
      <c r="B375" s="124"/>
      <c r="C375" s="124"/>
      <c r="D375" s="124"/>
      <c r="E375" s="124"/>
      <c r="F375" s="124"/>
      <c r="G375" s="124"/>
      <c r="H375" s="124"/>
      <c r="I375" s="132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</row>
    <row r="376" hidden="1">
      <c r="A376" s="132"/>
      <c r="B376" s="124"/>
      <c r="C376" s="124"/>
      <c r="D376" s="124"/>
      <c r="E376" s="124"/>
      <c r="F376" s="124"/>
      <c r="G376" s="124"/>
      <c r="H376" s="124"/>
      <c r="I376" s="132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</row>
    <row r="377" hidden="1">
      <c r="A377" s="132"/>
      <c r="B377" s="124"/>
      <c r="C377" s="124"/>
      <c r="D377" s="124"/>
      <c r="E377" s="124"/>
      <c r="F377" s="124"/>
      <c r="G377" s="124"/>
      <c r="H377" s="124"/>
      <c r="I377" s="132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</row>
    <row r="378" hidden="1">
      <c r="A378" s="132"/>
      <c r="B378" s="124"/>
      <c r="C378" s="124"/>
      <c r="D378" s="124"/>
      <c r="E378" s="124"/>
      <c r="F378" s="124"/>
      <c r="G378" s="124"/>
      <c r="H378" s="124"/>
      <c r="I378" s="132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</row>
    <row r="379" hidden="1">
      <c r="A379" s="132"/>
      <c r="B379" s="124"/>
      <c r="C379" s="124"/>
      <c r="D379" s="124"/>
      <c r="E379" s="124"/>
      <c r="F379" s="124"/>
      <c r="G379" s="124"/>
      <c r="H379" s="124"/>
      <c r="I379" s="132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</row>
    <row r="380" hidden="1">
      <c r="A380" s="132"/>
      <c r="B380" s="124"/>
      <c r="C380" s="124"/>
      <c r="D380" s="124"/>
      <c r="E380" s="124"/>
      <c r="F380" s="124"/>
      <c r="G380" s="124"/>
      <c r="H380" s="124"/>
      <c r="I380" s="132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</row>
    <row r="381" hidden="1">
      <c r="A381" s="132"/>
      <c r="B381" s="124"/>
      <c r="C381" s="124"/>
      <c r="D381" s="124"/>
      <c r="E381" s="124"/>
      <c r="F381" s="124"/>
      <c r="G381" s="124"/>
      <c r="H381" s="124"/>
      <c r="I381" s="132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</row>
    <row r="382" hidden="1">
      <c r="A382" s="132"/>
      <c r="B382" s="124"/>
      <c r="C382" s="124"/>
      <c r="D382" s="124"/>
      <c r="E382" s="124"/>
      <c r="F382" s="124"/>
      <c r="G382" s="124"/>
      <c r="H382" s="124"/>
      <c r="I382" s="132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</row>
    <row r="383" hidden="1">
      <c r="A383" s="132"/>
      <c r="B383" s="124"/>
      <c r="C383" s="124"/>
      <c r="D383" s="124"/>
      <c r="E383" s="124"/>
      <c r="F383" s="124"/>
      <c r="G383" s="124"/>
      <c r="H383" s="124"/>
      <c r="I383" s="132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</row>
    <row r="384" hidden="1">
      <c r="A384" s="132"/>
      <c r="B384" s="124"/>
      <c r="C384" s="124"/>
      <c r="D384" s="124"/>
      <c r="E384" s="124"/>
      <c r="F384" s="124"/>
      <c r="G384" s="124"/>
      <c r="H384" s="124"/>
      <c r="I384" s="132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</row>
    <row r="385" hidden="1">
      <c r="A385" s="132"/>
      <c r="B385" s="124"/>
      <c r="C385" s="124"/>
      <c r="D385" s="124"/>
      <c r="E385" s="124"/>
      <c r="F385" s="124"/>
      <c r="G385" s="124"/>
      <c r="H385" s="124"/>
      <c r="I385" s="132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</row>
    <row r="386" hidden="1">
      <c r="A386" s="132"/>
      <c r="B386" s="124"/>
      <c r="C386" s="124"/>
      <c r="D386" s="124"/>
      <c r="E386" s="124"/>
      <c r="F386" s="124"/>
      <c r="G386" s="124"/>
      <c r="H386" s="124"/>
      <c r="I386" s="132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</row>
    <row r="387" hidden="1">
      <c r="A387" s="132"/>
      <c r="B387" s="124"/>
      <c r="C387" s="124"/>
      <c r="D387" s="124"/>
      <c r="E387" s="124"/>
      <c r="F387" s="124"/>
      <c r="G387" s="124"/>
      <c r="H387" s="124"/>
      <c r="I387" s="132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</row>
    <row r="388" hidden="1">
      <c r="A388" s="132"/>
      <c r="B388" s="124"/>
      <c r="C388" s="124"/>
      <c r="D388" s="124"/>
      <c r="E388" s="124"/>
      <c r="F388" s="124"/>
      <c r="G388" s="124"/>
      <c r="H388" s="124"/>
      <c r="I388" s="132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</row>
    <row r="389" hidden="1">
      <c r="A389" s="132"/>
      <c r="B389" s="124"/>
      <c r="C389" s="124"/>
      <c r="D389" s="124"/>
      <c r="E389" s="124"/>
      <c r="F389" s="124"/>
      <c r="G389" s="124"/>
      <c r="H389" s="124"/>
      <c r="I389" s="132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</row>
    <row r="390" hidden="1">
      <c r="A390" s="132"/>
      <c r="B390" s="124"/>
      <c r="C390" s="124"/>
      <c r="D390" s="124"/>
      <c r="E390" s="124"/>
      <c r="F390" s="124"/>
      <c r="G390" s="124"/>
      <c r="H390" s="124"/>
      <c r="I390" s="132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</row>
    <row r="391" hidden="1">
      <c r="A391" s="132"/>
      <c r="B391" s="124"/>
      <c r="C391" s="124"/>
      <c r="D391" s="124"/>
      <c r="E391" s="124"/>
      <c r="F391" s="124"/>
      <c r="G391" s="124"/>
      <c r="H391" s="124"/>
      <c r="I391" s="132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</row>
    <row r="392" hidden="1">
      <c r="A392" s="132"/>
      <c r="B392" s="124"/>
      <c r="C392" s="124"/>
      <c r="D392" s="124"/>
      <c r="E392" s="124"/>
      <c r="F392" s="124"/>
      <c r="G392" s="124"/>
      <c r="H392" s="124"/>
      <c r="I392" s="132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</row>
    <row r="393" hidden="1">
      <c r="A393" s="132"/>
      <c r="B393" s="124"/>
      <c r="C393" s="124"/>
      <c r="D393" s="124"/>
      <c r="E393" s="124"/>
      <c r="F393" s="124"/>
      <c r="G393" s="124"/>
      <c r="H393" s="124"/>
      <c r="I393" s="132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</row>
    <row r="394" hidden="1">
      <c r="A394" s="132"/>
      <c r="B394" s="124"/>
      <c r="C394" s="124"/>
      <c r="D394" s="124"/>
      <c r="E394" s="124"/>
      <c r="F394" s="124"/>
      <c r="G394" s="124"/>
      <c r="H394" s="124"/>
      <c r="I394" s="132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</row>
    <row r="395" hidden="1">
      <c r="A395" s="132"/>
      <c r="B395" s="124"/>
      <c r="C395" s="124"/>
      <c r="D395" s="124"/>
      <c r="E395" s="124"/>
      <c r="F395" s="124"/>
      <c r="G395" s="124"/>
      <c r="H395" s="124"/>
      <c r="I395" s="132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</row>
    <row r="396" hidden="1">
      <c r="A396" s="132"/>
      <c r="B396" s="124"/>
      <c r="C396" s="124"/>
      <c r="D396" s="124"/>
      <c r="E396" s="124"/>
      <c r="F396" s="124"/>
      <c r="G396" s="124"/>
      <c r="H396" s="124"/>
      <c r="I396" s="132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</row>
    <row r="397" hidden="1">
      <c r="A397" s="132"/>
      <c r="B397" s="124"/>
      <c r="C397" s="124"/>
      <c r="D397" s="124"/>
      <c r="E397" s="124"/>
      <c r="F397" s="124"/>
      <c r="G397" s="124"/>
      <c r="H397" s="124"/>
      <c r="I397" s="132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</row>
    <row r="398" hidden="1">
      <c r="A398" s="132"/>
      <c r="B398" s="124"/>
      <c r="C398" s="124"/>
      <c r="D398" s="124"/>
      <c r="E398" s="124"/>
      <c r="F398" s="124"/>
      <c r="G398" s="124"/>
      <c r="H398" s="124"/>
      <c r="I398" s="132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</row>
    <row r="399" hidden="1">
      <c r="A399" s="132"/>
      <c r="B399" s="124"/>
      <c r="C399" s="124"/>
      <c r="D399" s="124"/>
      <c r="E399" s="124"/>
      <c r="F399" s="124"/>
      <c r="G399" s="124"/>
      <c r="H399" s="124"/>
      <c r="I399" s="132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</row>
    <row r="400" hidden="1">
      <c r="A400" s="132"/>
      <c r="B400" s="124"/>
      <c r="C400" s="124"/>
      <c r="D400" s="124"/>
      <c r="E400" s="124"/>
      <c r="F400" s="124"/>
      <c r="G400" s="124"/>
      <c r="H400" s="124"/>
      <c r="I400" s="132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</row>
    <row r="401" hidden="1">
      <c r="A401" s="132"/>
      <c r="B401" s="124"/>
      <c r="C401" s="124"/>
      <c r="D401" s="124"/>
      <c r="E401" s="124"/>
      <c r="F401" s="124"/>
      <c r="G401" s="124"/>
      <c r="H401" s="124"/>
      <c r="I401" s="132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</row>
    <row r="402" hidden="1">
      <c r="A402" s="132"/>
      <c r="B402" s="124"/>
      <c r="C402" s="124"/>
      <c r="D402" s="124"/>
      <c r="E402" s="124"/>
      <c r="F402" s="124"/>
      <c r="G402" s="124"/>
      <c r="H402" s="124"/>
      <c r="I402" s="132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</row>
    <row r="403" hidden="1">
      <c r="A403" s="132"/>
      <c r="B403" s="124"/>
      <c r="C403" s="124"/>
      <c r="D403" s="124"/>
      <c r="E403" s="124"/>
      <c r="F403" s="124"/>
      <c r="G403" s="124"/>
      <c r="H403" s="124"/>
      <c r="I403" s="132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</row>
    <row r="404" hidden="1">
      <c r="A404" s="132"/>
      <c r="B404" s="124"/>
      <c r="C404" s="124"/>
      <c r="D404" s="124"/>
      <c r="E404" s="124"/>
      <c r="F404" s="124"/>
      <c r="G404" s="124"/>
      <c r="H404" s="124"/>
      <c r="I404" s="132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</row>
    <row r="405" hidden="1">
      <c r="A405" s="132"/>
      <c r="B405" s="124"/>
      <c r="C405" s="124"/>
      <c r="D405" s="124"/>
      <c r="E405" s="124"/>
      <c r="F405" s="124"/>
      <c r="G405" s="124"/>
      <c r="H405" s="124"/>
      <c r="I405" s="132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</row>
    <row r="406" hidden="1">
      <c r="A406" s="132"/>
      <c r="B406" s="124"/>
      <c r="C406" s="124"/>
      <c r="D406" s="124"/>
      <c r="E406" s="124"/>
      <c r="F406" s="124"/>
      <c r="G406" s="124"/>
      <c r="H406" s="124"/>
      <c r="I406" s="132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</row>
    <row r="407" hidden="1">
      <c r="A407" s="132"/>
      <c r="B407" s="124"/>
      <c r="C407" s="124"/>
      <c r="D407" s="124"/>
      <c r="E407" s="124"/>
      <c r="F407" s="124"/>
      <c r="G407" s="124"/>
      <c r="H407" s="124"/>
      <c r="I407" s="132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</row>
    <row r="408" hidden="1">
      <c r="A408" s="132"/>
      <c r="B408" s="124"/>
      <c r="C408" s="124"/>
      <c r="D408" s="124"/>
      <c r="E408" s="124"/>
      <c r="F408" s="124"/>
      <c r="G408" s="124"/>
      <c r="H408" s="124"/>
      <c r="I408" s="132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</row>
    <row r="409" hidden="1">
      <c r="A409" s="132"/>
      <c r="B409" s="124"/>
      <c r="C409" s="124"/>
      <c r="D409" s="124"/>
      <c r="E409" s="124"/>
      <c r="F409" s="124"/>
      <c r="G409" s="124"/>
      <c r="H409" s="124"/>
      <c r="I409" s="132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</row>
    <row r="410" hidden="1">
      <c r="A410" s="132"/>
      <c r="B410" s="124"/>
      <c r="C410" s="124"/>
      <c r="D410" s="124"/>
      <c r="E410" s="124"/>
      <c r="F410" s="124"/>
      <c r="G410" s="124"/>
      <c r="H410" s="124"/>
      <c r="I410" s="132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</row>
    <row r="411" hidden="1">
      <c r="A411" s="132"/>
      <c r="B411" s="124"/>
      <c r="C411" s="124"/>
      <c r="D411" s="124"/>
      <c r="E411" s="124"/>
      <c r="F411" s="124"/>
      <c r="G411" s="124"/>
      <c r="H411" s="124"/>
      <c r="I411" s="132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</row>
    <row r="412" hidden="1">
      <c r="A412" s="132"/>
      <c r="B412" s="124"/>
      <c r="C412" s="124"/>
      <c r="D412" s="124"/>
      <c r="E412" s="124"/>
      <c r="F412" s="124"/>
      <c r="G412" s="124"/>
      <c r="H412" s="124"/>
      <c r="I412" s="132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</row>
    <row r="413" hidden="1">
      <c r="A413" s="132"/>
      <c r="B413" s="124"/>
      <c r="C413" s="124"/>
      <c r="D413" s="124"/>
      <c r="E413" s="124"/>
      <c r="F413" s="124"/>
      <c r="G413" s="124"/>
      <c r="H413" s="124"/>
      <c r="I413" s="132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</row>
    <row r="414" hidden="1">
      <c r="A414" s="132"/>
      <c r="B414" s="124"/>
      <c r="C414" s="124"/>
      <c r="D414" s="124"/>
      <c r="E414" s="124"/>
      <c r="F414" s="124"/>
      <c r="G414" s="124"/>
      <c r="H414" s="124"/>
      <c r="I414" s="132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</row>
    <row r="415" hidden="1">
      <c r="A415" s="132"/>
      <c r="B415" s="124"/>
      <c r="C415" s="124"/>
      <c r="D415" s="124"/>
      <c r="E415" s="124"/>
      <c r="F415" s="124"/>
      <c r="G415" s="124"/>
      <c r="H415" s="124"/>
      <c r="I415" s="132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</row>
    <row r="416" hidden="1">
      <c r="A416" s="132"/>
      <c r="B416" s="124"/>
      <c r="C416" s="124"/>
      <c r="D416" s="124"/>
      <c r="E416" s="124"/>
      <c r="F416" s="124"/>
      <c r="G416" s="124"/>
      <c r="H416" s="124"/>
      <c r="I416" s="132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</row>
    <row r="417" hidden="1">
      <c r="A417" s="132"/>
      <c r="B417" s="124"/>
      <c r="C417" s="124"/>
      <c r="D417" s="124"/>
      <c r="E417" s="124"/>
      <c r="F417" s="124"/>
      <c r="G417" s="124"/>
      <c r="H417" s="124"/>
      <c r="I417" s="132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</row>
    <row r="418" hidden="1">
      <c r="A418" s="132"/>
      <c r="B418" s="124"/>
      <c r="C418" s="124"/>
      <c r="D418" s="124"/>
      <c r="E418" s="124"/>
      <c r="F418" s="124"/>
      <c r="G418" s="124"/>
      <c r="H418" s="124"/>
      <c r="I418" s="132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</row>
    <row r="419" hidden="1">
      <c r="A419" s="132"/>
      <c r="B419" s="124"/>
      <c r="C419" s="124"/>
      <c r="D419" s="124"/>
      <c r="E419" s="124"/>
      <c r="F419" s="124"/>
      <c r="G419" s="124"/>
      <c r="H419" s="124"/>
      <c r="I419" s="132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</row>
    <row r="420" hidden="1">
      <c r="A420" s="132"/>
      <c r="B420" s="124"/>
      <c r="C420" s="124"/>
      <c r="D420" s="124"/>
      <c r="E420" s="124"/>
      <c r="F420" s="124"/>
      <c r="G420" s="124"/>
      <c r="H420" s="124"/>
      <c r="I420" s="132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</row>
    <row r="421" hidden="1">
      <c r="A421" s="132"/>
      <c r="B421" s="124"/>
      <c r="C421" s="124"/>
      <c r="D421" s="124"/>
      <c r="E421" s="124"/>
      <c r="F421" s="124"/>
      <c r="G421" s="124"/>
      <c r="H421" s="124"/>
      <c r="I421" s="132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</row>
    <row r="422" hidden="1">
      <c r="A422" s="132"/>
      <c r="B422" s="124"/>
      <c r="C422" s="124"/>
      <c r="D422" s="124"/>
      <c r="E422" s="124"/>
      <c r="F422" s="124"/>
      <c r="G422" s="124"/>
      <c r="H422" s="124"/>
      <c r="I422" s="132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</row>
    <row r="423" hidden="1">
      <c r="A423" s="132"/>
      <c r="B423" s="124"/>
      <c r="C423" s="124"/>
      <c r="D423" s="124"/>
      <c r="E423" s="124"/>
      <c r="F423" s="124"/>
      <c r="G423" s="124"/>
      <c r="H423" s="124"/>
      <c r="I423" s="132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</row>
    <row r="424" hidden="1">
      <c r="A424" s="132"/>
      <c r="B424" s="124"/>
      <c r="C424" s="124"/>
      <c r="D424" s="124"/>
      <c r="E424" s="124"/>
      <c r="F424" s="124"/>
      <c r="G424" s="124"/>
      <c r="H424" s="124"/>
      <c r="I424" s="132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</row>
    <row r="425" hidden="1">
      <c r="A425" s="132"/>
      <c r="B425" s="124"/>
      <c r="C425" s="124"/>
      <c r="D425" s="124"/>
      <c r="E425" s="124"/>
      <c r="F425" s="124"/>
      <c r="G425" s="124"/>
      <c r="H425" s="124"/>
      <c r="I425" s="132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</row>
    <row r="426" hidden="1">
      <c r="A426" s="132"/>
      <c r="B426" s="124"/>
      <c r="C426" s="124"/>
      <c r="D426" s="124"/>
      <c r="E426" s="124"/>
      <c r="F426" s="124"/>
      <c r="G426" s="124"/>
      <c r="H426" s="124"/>
      <c r="I426" s="132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</row>
    <row r="427" hidden="1">
      <c r="A427" s="132"/>
      <c r="B427" s="124"/>
      <c r="C427" s="124"/>
      <c r="D427" s="124"/>
      <c r="E427" s="124"/>
      <c r="F427" s="124"/>
      <c r="G427" s="124"/>
      <c r="H427" s="124"/>
      <c r="I427" s="132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</row>
    <row r="428" hidden="1">
      <c r="A428" s="132"/>
      <c r="B428" s="124"/>
      <c r="C428" s="124"/>
      <c r="D428" s="124"/>
      <c r="E428" s="124"/>
      <c r="F428" s="124"/>
      <c r="G428" s="124"/>
      <c r="H428" s="124"/>
      <c r="I428" s="132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</row>
    <row r="429" hidden="1">
      <c r="A429" s="132"/>
      <c r="B429" s="124"/>
      <c r="C429" s="124"/>
      <c r="D429" s="124"/>
      <c r="E429" s="124"/>
      <c r="F429" s="124"/>
      <c r="G429" s="124"/>
      <c r="H429" s="124"/>
      <c r="I429" s="132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</row>
    <row r="430" hidden="1">
      <c r="A430" s="132"/>
      <c r="B430" s="124"/>
      <c r="C430" s="124"/>
      <c r="D430" s="124"/>
      <c r="E430" s="124"/>
      <c r="F430" s="124"/>
      <c r="G430" s="124"/>
      <c r="H430" s="124"/>
      <c r="I430" s="132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</row>
    <row r="431" hidden="1">
      <c r="A431" s="132"/>
      <c r="B431" s="124"/>
      <c r="C431" s="124"/>
      <c r="D431" s="124"/>
      <c r="E431" s="124"/>
      <c r="F431" s="124"/>
      <c r="G431" s="124"/>
      <c r="H431" s="124"/>
      <c r="I431" s="132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</row>
    <row r="432" hidden="1">
      <c r="A432" s="132"/>
      <c r="B432" s="124"/>
      <c r="C432" s="124"/>
      <c r="D432" s="124"/>
      <c r="E432" s="124"/>
      <c r="F432" s="124"/>
      <c r="G432" s="124"/>
      <c r="H432" s="124"/>
      <c r="I432" s="132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</row>
    <row r="433" hidden="1">
      <c r="A433" s="132"/>
      <c r="B433" s="124"/>
      <c r="C433" s="124"/>
      <c r="D433" s="124"/>
      <c r="E433" s="124"/>
      <c r="F433" s="124"/>
      <c r="G433" s="124"/>
      <c r="H433" s="124"/>
      <c r="I433" s="132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</row>
    <row r="434" hidden="1">
      <c r="A434" s="132"/>
      <c r="B434" s="124"/>
      <c r="C434" s="124"/>
      <c r="D434" s="124"/>
      <c r="E434" s="124"/>
      <c r="F434" s="124"/>
      <c r="G434" s="124"/>
      <c r="H434" s="124"/>
      <c r="I434" s="132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</row>
    <row r="435" hidden="1">
      <c r="A435" s="132"/>
      <c r="B435" s="124"/>
      <c r="C435" s="124"/>
      <c r="D435" s="124"/>
      <c r="E435" s="124"/>
      <c r="F435" s="124"/>
      <c r="G435" s="124"/>
      <c r="H435" s="124"/>
      <c r="I435" s="132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</row>
    <row r="436" hidden="1">
      <c r="A436" s="132"/>
      <c r="B436" s="124"/>
      <c r="C436" s="124"/>
      <c r="D436" s="124"/>
      <c r="E436" s="124"/>
      <c r="F436" s="124"/>
      <c r="G436" s="124"/>
      <c r="H436" s="124"/>
      <c r="I436" s="132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</row>
    <row r="437" hidden="1">
      <c r="A437" s="132"/>
      <c r="B437" s="124"/>
      <c r="C437" s="124"/>
      <c r="D437" s="124"/>
      <c r="E437" s="124"/>
      <c r="F437" s="124"/>
      <c r="G437" s="124"/>
      <c r="H437" s="124"/>
      <c r="I437" s="132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</row>
    <row r="438" hidden="1">
      <c r="A438" s="132"/>
      <c r="B438" s="124"/>
      <c r="C438" s="124"/>
      <c r="D438" s="124"/>
      <c r="E438" s="124"/>
      <c r="F438" s="124"/>
      <c r="G438" s="124"/>
      <c r="H438" s="124"/>
      <c r="I438" s="132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</row>
    <row r="439" hidden="1">
      <c r="A439" s="132"/>
      <c r="B439" s="124"/>
      <c r="C439" s="124"/>
      <c r="D439" s="124"/>
      <c r="E439" s="124"/>
      <c r="F439" s="124"/>
      <c r="G439" s="124"/>
      <c r="H439" s="124"/>
      <c r="I439" s="132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</row>
    <row r="440" hidden="1">
      <c r="A440" s="132"/>
      <c r="B440" s="124"/>
      <c r="C440" s="124"/>
      <c r="D440" s="124"/>
      <c r="E440" s="124"/>
      <c r="F440" s="124"/>
      <c r="G440" s="124"/>
      <c r="H440" s="124"/>
      <c r="I440" s="132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</row>
    <row r="441" hidden="1">
      <c r="A441" s="132"/>
      <c r="B441" s="124"/>
      <c r="C441" s="124"/>
      <c r="D441" s="124"/>
      <c r="E441" s="124"/>
      <c r="F441" s="124"/>
      <c r="G441" s="124"/>
      <c r="H441" s="124"/>
      <c r="I441" s="132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</row>
    <row r="442" hidden="1">
      <c r="A442" s="132"/>
      <c r="B442" s="124"/>
      <c r="C442" s="124"/>
      <c r="D442" s="124"/>
      <c r="E442" s="124"/>
      <c r="F442" s="124"/>
      <c r="G442" s="124"/>
      <c r="H442" s="124"/>
      <c r="I442" s="132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</row>
    <row r="443" hidden="1">
      <c r="A443" s="132"/>
      <c r="B443" s="124"/>
      <c r="C443" s="124"/>
      <c r="D443" s="124"/>
      <c r="E443" s="124"/>
      <c r="F443" s="124"/>
      <c r="G443" s="124"/>
      <c r="H443" s="124"/>
      <c r="I443" s="132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</row>
    <row r="444" hidden="1">
      <c r="A444" s="132"/>
      <c r="B444" s="124"/>
      <c r="C444" s="124"/>
      <c r="D444" s="124"/>
      <c r="E444" s="124"/>
      <c r="F444" s="124"/>
      <c r="G444" s="124"/>
      <c r="H444" s="124"/>
      <c r="I444" s="132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</row>
    <row r="445" hidden="1">
      <c r="A445" s="132"/>
      <c r="B445" s="124"/>
      <c r="C445" s="124"/>
      <c r="D445" s="124"/>
      <c r="E445" s="124"/>
      <c r="F445" s="124"/>
      <c r="G445" s="124"/>
      <c r="H445" s="124"/>
      <c r="I445" s="132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</row>
    <row r="446" hidden="1">
      <c r="A446" s="132"/>
      <c r="B446" s="124"/>
      <c r="C446" s="124"/>
      <c r="D446" s="124"/>
      <c r="E446" s="124"/>
      <c r="F446" s="124"/>
      <c r="G446" s="124"/>
      <c r="H446" s="124"/>
      <c r="I446" s="132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</row>
    <row r="447" hidden="1">
      <c r="A447" s="132"/>
      <c r="B447" s="124"/>
      <c r="C447" s="124"/>
      <c r="D447" s="124"/>
      <c r="E447" s="124"/>
      <c r="F447" s="124"/>
      <c r="G447" s="124"/>
      <c r="H447" s="124"/>
      <c r="I447" s="132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</row>
    <row r="448" hidden="1">
      <c r="A448" s="132"/>
      <c r="B448" s="124"/>
      <c r="C448" s="124"/>
      <c r="D448" s="124"/>
      <c r="E448" s="124"/>
      <c r="F448" s="124"/>
      <c r="G448" s="124"/>
      <c r="H448" s="124"/>
      <c r="I448" s="132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</row>
    <row r="449" hidden="1">
      <c r="A449" s="132"/>
      <c r="B449" s="124"/>
      <c r="C449" s="124"/>
      <c r="D449" s="124"/>
      <c r="E449" s="124"/>
      <c r="F449" s="124"/>
      <c r="G449" s="124"/>
      <c r="H449" s="124"/>
      <c r="I449" s="132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</row>
    <row r="450" hidden="1">
      <c r="A450" s="132"/>
      <c r="B450" s="124"/>
      <c r="C450" s="124"/>
      <c r="D450" s="124"/>
      <c r="E450" s="124"/>
      <c r="F450" s="124"/>
      <c r="G450" s="124"/>
      <c r="H450" s="124"/>
      <c r="I450" s="132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</row>
    <row r="451" hidden="1">
      <c r="A451" s="132"/>
      <c r="B451" s="124"/>
      <c r="C451" s="124"/>
      <c r="D451" s="124"/>
      <c r="E451" s="124"/>
      <c r="F451" s="124"/>
      <c r="G451" s="124"/>
      <c r="H451" s="124"/>
      <c r="I451" s="132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</row>
    <row r="452" hidden="1">
      <c r="A452" s="132"/>
      <c r="B452" s="124"/>
      <c r="C452" s="124"/>
      <c r="D452" s="124"/>
      <c r="E452" s="124"/>
      <c r="F452" s="124"/>
      <c r="G452" s="124"/>
      <c r="H452" s="124"/>
      <c r="I452" s="132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</row>
    <row r="453" hidden="1">
      <c r="A453" s="132"/>
      <c r="B453" s="124"/>
      <c r="C453" s="124"/>
      <c r="D453" s="124"/>
      <c r="E453" s="124"/>
      <c r="F453" s="124"/>
      <c r="G453" s="124"/>
      <c r="H453" s="124"/>
      <c r="I453" s="132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</row>
    <row r="454" hidden="1">
      <c r="A454" s="132"/>
      <c r="B454" s="124"/>
      <c r="C454" s="124"/>
      <c r="D454" s="124"/>
      <c r="E454" s="124"/>
      <c r="F454" s="124"/>
      <c r="G454" s="124"/>
      <c r="H454" s="124"/>
      <c r="I454" s="132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</row>
    <row r="455" hidden="1">
      <c r="A455" s="132"/>
      <c r="B455" s="124"/>
      <c r="C455" s="124"/>
      <c r="D455" s="124"/>
      <c r="E455" s="124"/>
      <c r="F455" s="124"/>
      <c r="G455" s="124"/>
      <c r="H455" s="124"/>
      <c r="I455" s="132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</row>
    <row r="456" hidden="1">
      <c r="A456" s="132"/>
      <c r="B456" s="124"/>
      <c r="C456" s="124"/>
      <c r="D456" s="124"/>
      <c r="E456" s="124"/>
      <c r="F456" s="124"/>
      <c r="G456" s="124"/>
      <c r="H456" s="124"/>
      <c r="I456" s="132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</row>
    <row r="457" hidden="1">
      <c r="A457" s="132"/>
      <c r="B457" s="124"/>
      <c r="C457" s="124"/>
      <c r="D457" s="124"/>
      <c r="E457" s="124"/>
      <c r="F457" s="124"/>
      <c r="G457" s="124"/>
      <c r="H457" s="124"/>
      <c r="I457" s="132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</row>
    <row r="458" hidden="1">
      <c r="A458" s="132"/>
      <c r="B458" s="124"/>
      <c r="C458" s="124"/>
      <c r="D458" s="124"/>
      <c r="E458" s="124"/>
      <c r="F458" s="124"/>
      <c r="G458" s="124"/>
      <c r="H458" s="124"/>
      <c r="I458" s="132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</row>
    <row r="459" hidden="1">
      <c r="A459" s="132"/>
      <c r="B459" s="124"/>
      <c r="C459" s="124"/>
      <c r="D459" s="124"/>
      <c r="E459" s="124"/>
      <c r="F459" s="124"/>
      <c r="G459" s="124"/>
      <c r="H459" s="124"/>
      <c r="I459" s="132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</row>
    <row r="460" hidden="1">
      <c r="A460" s="132"/>
      <c r="B460" s="124"/>
      <c r="C460" s="124"/>
      <c r="D460" s="124"/>
      <c r="E460" s="124"/>
      <c r="F460" s="124"/>
      <c r="G460" s="124"/>
      <c r="H460" s="124"/>
      <c r="I460" s="132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</row>
    <row r="461" hidden="1">
      <c r="A461" s="132"/>
      <c r="B461" s="124"/>
      <c r="C461" s="124"/>
      <c r="D461" s="124"/>
      <c r="E461" s="124"/>
      <c r="F461" s="124"/>
      <c r="G461" s="124"/>
      <c r="H461" s="124"/>
      <c r="I461" s="132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</row>
    <row r="462" hidden="1">
      <c r="A462" s="132"/>
      <c r="B462" s="124"/>
      <c r="C462" s="124"/>
      <c r="D462" s="124"/>
      <c r="E462" s="124"/>
      <c r="F462" s="124"/>
      <c r="G462" s="124"/>
      <c r="H462" s="124"/>
      <c r="I462" s="132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</row>
    <row r="463" hidden="1">
      <c r="A463" s="132"/>
      <c r="B463" s="124"/>
      <c r="C463" s="124"/>
      <c r="D463" s="124"/>
      <c r="E463" s="124"/>
      <c r="F463" s="124"/>
      <c r="G463" s="124"/>
      <c r="H463" s="124"/>
      <c r="I463" s="132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</row>
    <row r="464" hidden="1">
      <c r="A464" s="132"/>
      <c r="B464" s="124"/>
      <c r="C464" s="124"/>
      <c r="D464" s="124"/>
      <c r="E464" s="124"/>
      <c r="F464" s="124"/>
      <c r="G464" s="124"/>
      <c r="H464" s="124"/>
      <c r="I464" s="132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</row>
    <row r="465" hidden="1">
      <c r="A465" s="132"/>
      <c r="B465" s="124"/>
      <c r="C465" s="124"/>
      <c r="D465" s="124"/>
      <c r="E465" s="124"/>
      <c r="F465" s="124"/>
      <c r="G465" s="124"/>
      <c r="H465" s="124"/>
      <c r="I465" s="132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</row>
    <row r="466" hidden="1">
      <c r="A466" s="132"/>
      <c r="B466" s="124"/>
      <c r="C466" s="124"/>
      <c r="D466" s="124"/>
      <c r="E466" s="124"/>
      <c r="F466" s="124"/>
      <c r="G466" s="124"/>
      <c r="H466" s="124"/>
      <c r="I466" s="132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</row>
    <row r="467" hidden="1">
      <c r="A467" s="132"/>
      <c r="B467" s="124"/>
      <c r="C467" s="124"/>
      <c r="D467" s="124"/>
      <c r="E467" s="124"/>
      <c r="F467" s="124"/>
      <c r="G467" s="124"/>
      <c r="H467" s="124"/>
      <c r="I467" s="132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</row>
    <row r="468" hidden="1">
      <c r="A468" s="132"/>
      <c r="B468" s="124"/>
      <c r="C468" s="124"/>
      <c r="D468" s="124"/>
      <c r="E468" s="124"/>
      <c r="F468" s="124"/>
      <c r="G468" s="124"/>
      <c r="H468" s="124"/>
      <c r="I468" s="132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</row>
    <row r="469" hidden="1">
      <c r="A469" s="132"/>
      <c r="B469" s="124"/>
      <c r="C469" s="124"/>
      <c r="D469" s="124"/>
      <c r="E469" s="124"/>
      <c r="F469" s="124"/>
      <c r="G469" s="124"/>
      <c r="H469" s="124"/>
      <c r="I469" s="132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</row>
    <row r="470" hidden="1">
      <c r="A470" s="132"/>
      <c r="B470" s="124"/>
      <c r="C470" s="124"/>
      <c r="D470" s="124"/>
      <c r="E470" s="124"/>
      <c r="F470" s="124"/>
      <c r="G470" s="124"/>
      <c r="H470" s="124"/>
      <c r="I470" s="132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</row>
    <row r="471" hidden="1">
      <c r="A471" s="132"/>
      <c r="B471" s="124"/>
      <c r="C471" s="124"/>
      <c r="D471" s="124"/>
      <c r="E471" s="124"/>
      <c r="F471" s="124"/>
      <c r="G471" s="124"/>
      <c r="H471" s="124"/>
      <c r="I471" s="132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</row>
    <row r="472" hidden="1">
      <c r="A472" s="132"/>
      <c r="B472" s="124"/>
      <c r="C472" s="124"/>
      <c r="D472" s="124"/>
      <c r="E472" s="124"/>
      <c r="F472" s="124"/>
      <c r="G472" s="124"/>
      <c r="H472" s="124"/>
      <c r="I472" s="132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</row>
    <row r="473" hidden="1">
      <c r="A473" s="132"/>
      <c r="B473" s="124"/>
      <c r="C473" s="124"/>
      <c r="D473" s="124"/>
      <c r="E473" s="124"/>
      <c r="F473" s="124"/>
      <c r="G473" s="124"/>
      <c r="H473" s="124"/>
      <c r="I473" s="132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</row>
    <row r="474" hidden="1">
      <c r="A474" s="132"/>
      <c r="B474" s="124"/>
      <c r="C474" s="124"/>
      <c r="D474" s="124"/>
      <c r="E474" s="124"/>
      <c r="F474" s="124"/>
      <c r="G474" s="124"/>
      <c r="H474" s="124"/>
      <c r="I474" s="132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</row>
    <row r="475" hidden="1">
      <c r="A475" s="132"/>
      <c r="B475" s="124"/>
      <c r="C475" s="124"/>
      <c r="D475" s="124"/>
      <c r="E475" s="124"/>
      <c r="F475" s="124"/>
      <c r="G475" s="124"/>
      <c r="H475" s="124"/>
      <c r="I475" s="132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</row>
    <row r="476" hidden="1">
      <c r="A476" s="132"/>
      <c r="B476" s="124"/>
      <c r="C476" s="124"/>
      <c r="D476" s="124"/>
      <c r="E476" s="124"/>
      <c r="F476" s="124"/>
      <c r="G476" s="124"/>
      <c r="H476" s="124"/>
      <c r="I476" s="132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</row>
    <row r="477" hidden="1">
      <c r="A477" s="132"/>
      <c r="B477" s="124"/>
      <c r="C477" s="124"/>
      <c r="D477" s="124"/>
      <c r="E477" s="124"/>
      <c r="F477" s="124"/>
      <c r="G477" s="124"/>
      <c r="H477" s="124"/>
      <c r="I477" s="132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</row>
    <row r="478" hidden="1">
      <c r="A478" s="132"/>
      <c r="B478" s="124"/>
      <c r="C478" s="124"/>
      <c r="D478" s="124"/>
      <c r="E478" s="124"/>
      <c r="F478" s="124"/>
      <c r="G478" s="124"/>
      <c r="H478" s="124"/>
      <c r="I478" s="132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</row>
    <row r="479" hidden="1">
      <c r="A479" s="132"/>
      <c r="B479" s="124"/>
      <c r="C479" s="124"/>
      <c r="D479" s="124"/>
      <c r="E479" s="124"/>
      <c r="F479" s="124"/>
      <c r="G479" s="124"/>
      <c r="H479" s="124"/>
      <c r="I479" s="132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</row>
    <row r="480" hidden="1">
      <c r="A480" s="132"/>
      <c r="B480" s="124"/>
      <c r="C480" s="124"/>
      <c r="D480" s="124"/>
      <c r="E480" s="124"/>
      <c r="F480" s="124"/>
      <c r="G480" s="124"/>
      <c r="H480" s="124"/>
      <c r="I480" s="132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</row>
    <row r="481" hidden="1">
      <c r="A481" s="132"/>
      <c r="B481" s="124"/>
      <c r="C481" s="124"/>
      <c r="D481" s="124"/>
      <c r="E481" s="124"/>
      <c r="F481" s="124"/>
      <c r="G481" s="124"/>
      <c r="H481" s="124"/>
      <c r="I481" s="132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</row>
    <row r="482" hidden="1">
      <c r="A482" s="132"/>
      <c r="B482" s="124"/>
      <c r="C482" s="124"/>
      <c r="D482" s="124"/>
      <c r="E482" s="124"/>
      <c r="F482" s="124"/>
      <c r="G482" s="124"/>
      <c r="H482" s="124"/>
      <c r="I482" s="132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</row>
    <row r="483" hidden="1">
      <c r="A483" s="132"/>
      <c r="B483" s="124"/>
      <c r="C483" s="124"/>
      <c r="D483" s="124"/>
      <c r="E483" s="124"/>
      <c r="F483" s="124"/>
      <c r="G483" s="124"/>
      <c r="H483" s="124"/>
      <c r="I483" s="132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</row>
    <row r="484" hidden="1">
      <c r="A484" s="132"/>
      <c r="B484" s="124"/>
      <c r="C484" s="124"/>
      <c r="D484" s="124"/>
      <c r="E484" s="124"/>
      <c r="F484" s="124"/>
      <c r="G484" s="124"/>
      <c r="H484" s="124"/>
      <c r="I484" s="132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</row>
    <row r="485" hidden="1">
      <c r="A485" s="132"/>
      <c r="B485" s="124"/>
      <c r="C485" s="124"/>
      <c r="D485" s="124"/>
      <c r="E485" s="124"/>
      <c r="F485" s="124"/>
      <c r="G485" s="124"/>
      <c r="H485" s="124"/>
      <c r="I485" s="132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</row>
    <row r="486" hidden="1">
      <c r="A486" s="132"/>
      <c r="B486" s="124"/>
      <c r="C486" s="124"/>
      <c r="D486" s="124"/>
      <c r="E486" s="124"/>
      <c r="F486" s="124"/>
      <c r="G486" s="124"/>
      <c r="H486" s="124"/>
      <c r="I486" s="132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</row>
    <row r="487" hidden="1">
      <c r="A487" s="132"/>
      <c r="B487" s="124"/>
      <c r="C487" s="124"/>
      <c r="D487" s="124"/>
      <c r="E487" s="124"/>
      <c r="F487" s="124"/>
      <c r="G487" s="124"/>
      <c r="H487" s="124"/>
      <c r="I487" s="132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</row>
    <row r="488" hidden="1">
      <c r="A488" s="132"/>
      <c r="B488" s="124"/>
      <c r="C488" s="124"/>
      <c r="D488" s="124"/>
      <c r="E488" s="124"/>
      <c r="F488" s="124"/>
      <c r="G488" s="124"/>
      <c r="H488" s="124"/>
      <c r="I488" s="132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</row>
    <row r="489" hidden="1">
      <c r="A489" s="132"/>
      <c r="B489" s="124"/>
      <c r="C489" s="124"/>
      <c r="D489" s="124"/>
      <c r="E489" s="124"/>
      <c r="F489" s="124"/>
      <c r="G489" s="124"/>
      <c r="H489" s="124"/>
      <c r="I489" s="132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</row>
    <row r="490" hidden="1">
      <c r="A490" s="132"/>
      <c r="B490" s="124"/>
      <c r="C490" s="124"/>
      <c r="D490" s="124"/>
      <c r="E490" s="124"/>
      <c r="F490" s="124"/>
      <c r="G490" s="124"/>
      <c r="H490" s="124"/>
      <c r="I490" s="132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</row>
    <row r="491" hidden="1">
      <c r="A491" s="132"/>
      <c r="B491" s="124"/>
      <c r="C491" s="124"/>
      <c r="D491" s="124"/>
      <c r="E491" s="124"/>
      <c r="F491" s="124"/>
      <c r="G491" s="124"/>
      <c r="H491" s="124"/>
      <c r="I491" s="132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</row>
    <row r="492" hidden="1">
      <c r="A492" s="132"/>
      <c r="B492" s="124"/>
      <c r="C492" s="124"/>
      <c r="D492" s="124"/>
      <c r="E492" s="124"/>
      <c r="F492" s="124"/>
      <c r="G492" s="124"/>
      <c r="H492" s="124"/>
      <c r="I492" s="132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</row>
    <row r="493" hidden="1">
      <c r="A493" s="132"/>
      <c r="B493" s="124"/>
      <c r="C493" s="124"/>
      <c r="D493" s="124"/>
      <c r="E493" s="124"/>
      <c r="F493" s="124"/>
      <c r="G493" s="124"/>
      <c r="H493" s="124"/>
      <c r="I493" s="132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</row>
    <row r="494" hidden="1">
      <c r="A494" s="132"/>
      <c r="B494" s="124"/>
      <c r="C494" s="124"/>
      <c r="D494" s="124"/>
      <c r="E494" s="124"/>
      <c r="F494" s="124"/>
      <c r="G494" s="124"/>
      <c r="H494" s="124"/>
      <c r="I494" s="132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</row>
    <row r="495" hidden="1">
      <c r="A495" s="132"/>
      <c r="B495" s="124"/>
      <c r="C495" s="124"/>
      <c r="D495" s="124"/>
      <c r="E495" s="124"/>
      <c r="F495" s="124"/>
      <c r="G495" s="124"/>
      <c r="H495" s="124"/>
      <c r="I495" s="132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</row>
    <row r="496" hidden="1">
      <c r="A496" s="132"/>
      <c r="B496" s="124"/>
      <c r="C496" s="124"/>
      <c r="D496" s="124"/>
      <c r="E496" s="124"/>
      <c r="F496" s="124"/>
      <c r="G496" s="124"/>
      <c r="H496" s="124"/>
      <c r="I496" s="132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</row>
    <row r="497" hidden="1">
      <c r="A497" s="132"/>
      <c r="B497" s="124"/>
      <c r="C497" s="124"/>
      <c r="D497" s="124"/>
      <c r="E497" s="124"/>
      <c r="F497" s="124"/>
      <c r="G497" s="124"/>
      <c r="H497" s="124"/>
      <c r="I497" s="132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</row>
    <row r="498" hidden="1">
      <c r="A498" s="132"/>
      <c r="B498" s="124"/>
      <c r="C498" s="124"/>
      <c r="D498" s="124"/>
      <c r="E498" s="124"/>
      <c r="F498" s="124"/>
      <c r="G498" s="124"/>
      <c r="H498" s="124"/>
      <c r="I498" s="132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</row>
    <row r="499" hidden="1">
      <c r="A499" s="132"/>
      <c r="B499" s="124"/>
      <c r="C499" s="124"/>
      <c r="D499" s="124"/>
      <c r="E499" s="124"/>
      <c r="F499" s="124"/>
      <c r="G499" s="124"/>
      <c r="H499" s="124"/>
      <c r="I499" s="132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</row>
    <row r="500" hidden="1">
      <c r="A500" s="132"/>
      <c r="B500" s="124"/>
      <c r="C500" s="124"/>
      <c r="D500" s="124"/>
      <c r="E500" s="124"/>
      <c r="F500" s="124"/>
      <c r="G500" s="124"/>
      <c r="H500" s="124"/>
      <c r="I500" s="132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</row>
    <row r="501" hidden="1">
      <c r="A501" s="132"/>
      <c r="B501" s="124"/>
      <c r="C501" s="124"/>
      <c r="D501" s="124"/>
      <c r="E501" s="124"/>
      <c r="F501" s="124"/>
      <c r="G501" s="124"/>
      <c r="H501" s="124"/>
      <c r="I501" s="132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</row>
    <row r="502" hidden="1">
      <c r="A502" s="132"/>
      <c r="B502" s="124"/>
      <c r="C502" s="124"/>
      <c r="D502" s="124"/>
      <c r="E502" s="124"/>
      <c r="F502" s="124"/>
      <c r="G502" s="124"/>
      <c r="H502" s="124"/>
      <c r="I502" s="132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</row>
    <row r="503" hidden="1">
      <c r="A503" s="132"/>
      <c r="B503" s="124"/>
      <c r="C503" s="124"/>
      <c r="D503" s="124"/>
      <c r="E503" s="124"/>
      <c r="F503" s="124"/>
      <c r="G503" s="124"/>
      <c r="H503" s="124"/>
      <c r="I503" s="132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</row>
    <row r="504" hidden="1">
      <c r="A504" s="132"/>
      <c r="B504" s="124"/>
      <c r="C504" s="124"/>
      <c r="D504" s="124"/>
      <c r="E504" s="124"/>
      <c r="F504" s="124"/>
      <c r="G504" s="124"/>
      <c r="H504" s="124"/>
      <c r="I504" s="132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</row>
    <row r="505" hidden="1">
      <c r="A505" s="132"/>
      <c r="B505" s="124"/>
      <c r="C505" s="124"/>
      <c r="D505" s="124"/>
      <c r="E505" s="124"/>
      <c r="F505" s="124"/>
      <c r="G505" s="124"/>
      <c r="H505" s="124"/>
      <c r="I505" s="132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</row>
    <row r="506" hidden="1">
      <c r="A506" s="132"/>
      <c r="B506" s="124"/>
      <c r="C506" s="124"/>
      <c r="D506" s="124"/>
      <c r="E506" s="124"/>
      <c r="F506" s="124"/>
      <c r="G506" s="124"/>
      <c r="H506" s="124"/>
      <c r="I506" s="132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</row>
    <row r="507" hidden="1">
      <c r="A507" s="132"/>
      <c r="B507" s="124"/>
      <c r="C507" s="124"/>
      <c r="D507" s="124"/>
      <c r="E507" s="124"/>
      <c r="F507" s="124"/>
      <c r="G507" s="124"/>
      <c r="H507" s="124"/>
      <c r="I507" s="132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</row>
    <row r="508" hidden="1">
      <c r="A508" s="132"/>
      <c r="B508" s="124"/>
      <c r="C508" s="124"/>
      <c r="D508" s="124"/>
      <c r="E508" s="124"/>
      <c r="F508" s="124"/>
      <c r="G508" s="124"/>
      <c r="H508" s="124"/>
      <c r="I508" s="132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</row>
    <row r="509" hidden="1">
      <c r="A509" s="132"/>
      <c r="B509" s="124"/>
      <c r="C509" s="124"/>
      <c r="D509" s="124"/>
      <c r="E509" s="124"/>
      <c r="F509" s="124"/>
      <c r="G509" s="124"/>
      <c r="H509" s="124"/>
      <c r="I509" s="132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</row>
    <row r="510" hidden="1">
      <c r="A510" s="132"/>
      <c r="B510" s="124"/>
      <c r="C510" s="124"/>
      <c r="D510" s="124"/>
      <c r="E510" s="124"/>
      <c r="F510" s="124"/>
      <c r="G510" s="124"/>
      <c r="H510" s="124"/>
      <c r="I510" s="132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</row>
    <row r="511" hidden="1">
      <c r="A511" s="132"/>
      <c r="B511" s="124"/>
      <c r="C511" s="124"/>
      <c r="D511" s="124"/>
      <c r="E511" s="124"/>
      <c r="F511" s="124"/>
      <c r="G511" s="124"/>
      <c r="H511" s="124"/>
      <c r="I511" s="132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</row>
    <row r="512" hidden="1">
      <c r="A512" s="132"/>
      <c r="B512" s="124"/>
      <c r="C512" s="124"/>
      <c r="D512" s="124"/>
      <c r="E512" s="124"/>
      <c r="F512" s="124"/>
      <c r="G512" s="124"/>
      <c r="H512" s="124"/>
      <c r="I512" s="132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</row>
    <row r="513" hidden="1">
      <c r="A513" s="132"/>
      <c r="B513" s="124"/>
      <c r="C513" s="124"/>
      <c r="D513" s="124"/>
      <c r="E513" s="124"/>
      <c r="F513" s="124"/>
      <c r="G513" s="124"/>
      <c r="H513" s="124"/>
      <c r="I513" s="132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</row>
    <row r="514" hidden="1">
      <c r="A514" s="132"/>
      <c r="B514" s="124"/>
      <c r="C514" s="124"/>
      <c r="D514" s="124"/>
      <c r="E514" s="124"/>
      <c r="F514" s="124"/>
      <c r="G514" s="124"/>
      <c r="H514" s="124"/>
      <c r="I514" s="132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</row>
    <row r="515" hidden="1">
      <c r="A515" s="132"/>
      <c r="B515" s="124"/>
      <c r="C515" s="124"/>
      <c r="D515" s="124"/>
      <c r="E515" s="124"/>
      <c r="F515" s="124"/>
      <c r="G515" s="124"/>
      <c r="H515" s="124"/>
      <c r="I515" s="132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</row>
    <row r="516" hidden="1">
      <c r="A516" s="132"/>
      <c r="B516" s="124"/>
      <c r="C516" s="124"/>
      <c r="D516" s="124"/>
      <c r="E516" s="124"/>
      <c r="F516" s="124"/>
      <c r="G516" s="124"/>
      <c r="H516" s="124"/>
      <c r="I516" s="132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</row>
    <row r="517" hidden="1">
      <c r="A517" s="132"/>
      <c r="B517" s="124"/>
      <c r="C517" s="124"/>
      <c r="D517" s="124"/>
      <c r="E517" s="124"/>
      <c r="F517" s="124"/>
      <c r="G517" s="124"/>
      <c r="H517" s="124"/>
      <c r="I517" s="132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</row>
    <row r="518" hidden="1">
      <c r="A518" s="132"/>
      <c r="B518" s="124"/>
      <c r="C518" s="124"/>
      <c r="D518" s="124"/>
      <c r="E518" s="124"/>
      <c r="F518" s="124"/>
      <c r="G518" s="124"/>
      <c r="H518" s="124"/>
      <c r="I518" s="132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</row>
    <row r="519" hidden="1">
      <c r="A519" s="132"/>
      <c r="B519" s="124"/>
      <c r="C519" s="124"/>
      <c r="D519" s="124"/>
      <c r="E519" s="124"/>
      <c r="F519" s="124"/>
      <c r="G519" s="124"/>
      <c r="H519" s="124"/>
      <c r="I519" s="132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</row>
    <row r="520" hidden="1">
      <c r="A520" s="132"/>
      <c r="B520" s="124"/>
      <c r="C520" s="124"/>
      <c r="D520" s="124"/>
      <c r="E520" s="124"/>
      <c r="F520" s="124"/>
      <c r="G520" s="124"/>
      <c r="H520" s="124"/>
      <c r="I520" s="132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</row>
    <row r="521" hidden="1">
      <c r="A521" s="132"/>
      <c r="B521" s="124"/>
      <c r="C521" s="124"/>
      <c r="D521" s="124"/>
      <c r="E521" s="124"/>
      <c r="F521" s="124"/>
      <c r="G521" s="124"/>
      <c r="H521" s="124"/>
      <c r="I521" s="132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</row>
    <row r="522" hidden="1">
      <c r="A522" s="132"/>
      <c r="B522" s="124"/>
      <c r="C522" s="124"/>
      <c r="D522" s="124"/>
      <c r="E522" s="124"/>
      <c r="F522" s="124"/>
      <c r="G522" s="124"/>
      <c r="H522" s="124"/>
      <c r="I522" s="132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</row>
    <row r="523" hidden="1">
      <c r="A523" s="132"/>
      <c r="B523" s="124"/>
      <c r="C523" s="124"/>
      <c r="D523" s="124"/>
      <c r="E523" s="124"/>
      <c r="F523" s="124"/>
      <c r="G523" s="124"/>
      <c r="H523" s="124"/>
      <c r="I523" s="132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</row>
    <row r="524" hidden="1">
      <c r="A524" s="132"/>
      <c r="B524" s="124"/>
      <c r="C524" s="124"/>
      <c r="D524" s="124"/>
      <c r="E524" s="124"/>
      <c r="F524" s="124"/>
      <c r="G524" s="124"/>
      <c r="H524" s="124"/>
      <c r="I524" s="132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</row>
    <row r="525" hidden="1">
      <c r="A525" s="132"/>
      <c r="B525" s="124"/>
      <c r="C525" s="124"/>
      <c r="D525" s="124"/>
      <c r="E525" s="124"/>
      <c r="F525" s="124"/>
      <c r="G525" s="124"/>
      <c r="H525" s="124"/>
      <c r="I525" s="132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</row>
    <row r="526" hidden="1">
      <c r="A526" s="132"/>
      <c r="B526" s="124"/>
      <c r="C526" s="124"/>
      <c r="D526" s="124"/>
      <c r="E526" s="124"/>
      <c r="F526" s="124"/>
      <c r="G526" s="124"/>
      <c r="H526" s="124"/>
      <c r="I526" s="132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</row>
    <row r="527" hidden="1">
      <c r="A527" s="132"/>
      <c r="B527" s="124"/>
      <c r="C527" s="124"/>
      <c r="D527" s="124"/>
      <c r="E527" s="124"/>
      <c r="F527" s="124"/>
      <c r="G527" s="124"/>
      <c r="H527" s="124"/>
      <c r="I527" s="132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</row>
    <row r="528" hidden="1">
      <c r="A528" s="132"/>
      <c r="B528" s="124"/>
      <c r="C528" s="124"/>
      <c r="D528" s="124"/>
      <c r="E528" s="124"/>
      <c r="F528" s="124"/>
      <c r="G528" s="124"/>
      <c r="H528" s="124"/>
      <c r="I528" s="132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</row>
    <row r="529" hidden="1">
      <c r="A529" s="132"/>
      <c r="B529" s="124"/>
      <c r="C529" s="124"/>
      <c r="D529" s="124"/>
      <c r="E529" s="124"/>
      <c r="F529" s="124"/>
      <c r="G529" s="124"/>
      <c r="H529" s="124"/>
      <c r="I529" s="132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</row>
    <row r="530" hidden="1">
      <c r="A530" s="132"/>
      <c r="B530" s="124"/>
      <c r="C530" s="124"/>
      <c r="D530" s="124"/>
      <c r="E530" s="124"/>
      <c r="F530" s="124"/>
      <c r="G530" s="124"/>
      <c r="H530" s="124"/>
      <c r="I530" s="132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</row>
    <row r="531" hidden="1">
      <c r="A531" s="132"/>
      <c r="B531" s="124"/>
      <c r="C531" s="124"/>
      <c r="D531" s="124"/>
      <c r="E531" s="124"/>
      <c r="F531" s="124"/>
      <c r="G531" s="124"/>
      <c r="H531" s="124"/>
      <c r="I531" s="132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</row>
    <row r="532" hidden="1">
      <c r="A532" s="132"/>
      <c r="B532" s="124"/>
      <c r="C532" s="124"/>
      <c r="D532" s="124"/>
      <c r="E532" s="124"/>
      <c r="F532" s="124"/>
      <c r="G532" s="124"/>
      <c r="H532" s="124"/>
      <c r="I532" s="132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</row>
    <row r="533" hidden="1">
      <c r="A533" s="132"/>
      <c r="B533" s="124"/>
      <c r="C533" s="124"/>
      <c r="D533" s="124"/>
      <c r="E533" s="124"/>
      <c r="F533" s="124"/>
      <c r="G533" s="124"/>
      <c r="H533" s="124"/>
      <c r="I533" s="132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</row>
    <row r="534" hidden="1">
      <c r="A534" s="132"/>
      <c r="B534" s="124"/>
      <c r="C534" s="124"/>
      <c r="D534" s="124"/>
      <c r="E534" s="124"/>
      <c r="F534" s="124"/>
      <c r="G534" s="124"/>
      <c r="H534" s="124"/>
      <c r="I534" s="132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</row>
    <row r="535" hidden="1">
      <c r="A535" s="132"/>
      <c r="B535" s="124"/>
      <c r="C535" s="124"/>
      <c r="D535" s="124"/>
      <c r="E535" s="124"/>
      <c r="F535" s="124"/>
      <c r="G535" s="124"/>
      <c r="H535" s="124"/>
      <c r="I535" s="132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</row>
    <row r="536" hidden="1">
      <c r="A536" s="132"/>
      <c r="B536" s="124"/>
      <c r="C536" s="124"/>
      <c r="D536" s="124"/>
      <c r="E536" s="124"/>
      <c r="F536" s="124"/>
      <c r="G536" s="124"/>
      <c r="H536" s="124"/>
      <c r="I536" s="132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</row>
    <row r="537" hidden="1">
      <c r="A537" s="132"/>
      <c r="B537" s="124"/>
      <c r="C537" s="124"/>
      <c r="D537" s="124"/>
      <c r="E537" s="124"/>
      <c r="F537" s="124"/>
      <c r="G537" s="124"/>
      <c r="H537" s="124"/>
      <c r="I537" s="132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</row>
    <row r="538" hidden="1">
      <c r="A538" s="132"/>
      <c r="B538" s="124"/>
      <c r="C538" s="124"/>
      <c r="D538" s="124"/>
      <c r="E538" s="124"/>
      <c r="F538" s="124"/>
      <c r="G538" s="124"/>
      <c r="H538" s="124"/>
      <c r="I538" s="132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</row>
    <row r="539" hidden="1">
      <c r="A539" s="132"/>
      <c r="B539" s="124"/>
      <c r="C539" s="124"/>
      <c r="D539" s="124"/>
      <c r="E539" s="124"/>
      <c r="F539" s="124"/>
      <c r="G539" s="124"/>
      <c r="H539" s="124"/>
      <c r="I539" s="132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</row>
    <row r="540" hidden="1">
      <c r="A540" s="132"/>
      <c r="B540" s="124"/>
      <c r="C540" s="124"/>
      <c r="D540" s="124"/>
      <c r="E540" s="124"/>
      <c r="F540" s="124"/>
      <c r="G540" s="124"/>
      <c r="H540" s="124"/>
      <c r="I540" s="132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</row>
    <row r="541" hidden="1">
      <c r="A541" s="132"/>
      <c r="B541" s="124"/>
      <c r="C541" s="124"/>
      <c r="D541" s="124"/>
      <c r="E541" s="124"/>
      <c r="F541" s="124"/>
      <c r="G541" s="124"/>
      <c r="H541" s="124"/>
      <c r="I541" s="132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</row>
    <row r="542" hidden="1">
      <c r="A542" s="132"/>
      <c r="B542" s="124"/>
      <c r="C542" s="124"/>
      <c r="D542" s="124"/>
      <c r="E542" s="124"/>
      <c r="F542" s="124"/>
      <c r="G542" s="124"/>
      <c r="H542" s="124"/>
      <c r="I542" s="132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</row>
    <row r="543" hidden="1">
      <c r="A543" s="132"/>
      <c r="B543" s="124"/>
      <c r="C543" s="124"/>
      <c r="D543" s="124"/>
      <c r="E543" s="124"/>
      <c r="F543" s="124"/>
      <c r="G543" s="124"/>
      <c r="H543" s="124"/>
      <c r="I543" s="132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</row>
    <row r="544" hidden="1">
      <c r="A544" s="132"/>
      <c r="B544" s="124"/>
      <c r="C544" s="124"/>
      <c r="D544" s="124"/>
      <c r="E544" s="124"/>
      <c r="F544" s="124"/>
      <c r="G544" s="124"/>
      <c r="H544" s="124"/>
      <c r="I544" s="132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</row>
    <row r="545" hidden="1">
      <c r="A545" s="132"/>
      <c r="B545" s="124"/>
      <c r="C545" s="124"/>
      <c r="D545" s="124"/>
      <c r="E545" s="124"/>
      <c r="F545" s="124"/>
      <c r="G545" s="124"/>
      <c r="H545" s="124"/>
      <c r="I545" s="132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</row>
    <row r="546" hidden="1">
      <c r="A546" s="132"/>
      <c r="B546" s="124"/>
      <c r="C546" s="124"/>
      <c r="D546" s="124"/>
      <c r="E546" s="124"/>
      <c r="F546" s="124"/>
      <c r="G546" s="124"/>
      <c r="H546" s="124"/>
      <c r="I546" s="132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</row>
    <row r="547" hidden="1">
      <c r="A547" s="132"/>
      <c r="B547" s="124"/>
      <c r="C547" s="124"/>
      <c r="D547" s="124"/>
      <c r="E547" s="124"/>
      <c r="F547" s="124"/>
      <c r="G547" s="124"/>
      <c r="H547" s="124"/>
      <c r="I547" s="132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</row>
    <row r="548" hidden="1">
      <c r="A548" s="132"/>
      <c r="B548" s="124"/>
      <c r="C548" s="124"/>
      <c r="D548" s="124"/>
      <c r="E548" s="124"/>
      <c r="F548" s="124"/>
      <c r="G548" s="124"/>
      <c r="H548" s="124"/>
      <c r="I548" s="132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</row>
    <row r="549" hidden="1">
      <c r="A549" s="132"/>
      <c r="B549" s="124"/>
      <c r="C549" s="124"/>
      <c r="D549" s="124"/>
      <c r="E549" s="124"/>
      <c r="F549" s="124"/>
      <c r="G549" s="124"/>
      <c r="H549" s="124"/>
      <c r="I549" s="132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</row>
    <row r="550" hidden="1">
      <c r="A550" s="132"/>
      <c r="B550" s="124"/>
      <c r="C550" s="124"/>
      <c r="D550" s="124"/>
      <c r="E550" s="124"/>
      <c r="F550" s="124"/>
      <c r="G550" s="124"/>
      <c r="H550" s="124"/>
      <c r="I550" s="132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</row>
    <row r="551" hidden="1">
      <c r="A551" s="132"/>
      <c r="B551" s="124"/>
      <c r="C551" s="124"/>
      <c r="D551" s="124"/>
      <c r="E551" s="124"/>
      <c r="F551" s="124"/>
      <c r="G551" s="124"/>
      <c r="H551" s="124"/>
      <c r="I551" s="132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</row>
    <row r="552" hidden="1">
      <c r="A552" s="132"/>
      <c r="B552" s="124"/>
      <c r="C552" s="124"/>
      <c r="D552" s="124"/>
      <c r="E552" s="124"/>
      <c r="F552" s="124"/>
      <c r="G552" s="124"/>
      <c r="H552" s="124"/>
      <c r="I552" s="132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</row>
    <row r="553" hidden="1">
      <c r="A553" s="132"/>
      <c r="B553" s="124"/>
      <c r="C553" s="124"/>
      <c r="D553" s="124"/>
      <c r="E553" s="124"/>
      <c r="F553" s="124"/>
      <c r="G553" s="124"/>
      <c r="H553" s="124"/>
      <c r="I553" s="132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</row>
    <row r="554" hidden="1">
      <c r="A554" s="132"/>
      <c r="B554" s="124"/>
      <c r="C554" s="124"/>
      <c r="D554" s="124"/>
      <c r="E554" s="124"/>
      <c r="F554" s="124"/>
      <c r="G554" s="124"/>
      <c r="H554" s="124"/>
      <c r="I554" s="132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</row>
    <row r="555" hidden="1">
      <c r="A555" s="132"/>
      <c r="B555" s="124"/>
      <c r="C555" s="124"/>
      <c r="D555" s="124"/>
      <c r="E555" s="124"/>
      <c r="F555" s="124"/>
      <c r="G555" s="124"/>
      <c r="H555" s="124"/>
      <c r="I555" s="132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</row>
    <row r="556" hidden="1">
      <c r="A556" s="132"/>
      <c r="B556" s="124"/>
      <c r="C556" s="124"/>
      <c r="D556" s="124"/>
      <c r="E556" s="124"/>
      <c r="F556" s="124"/>
      <c r="G556" s="124"/>
      <c r="H556" s="124"/>
      <c r="I556" s="132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</row>
    <row r="557" hidden="1">
      <c r="A557" s="132"/>
      <c r="B557" s="124"/>
      <c r="C557" s="124"/>
      <c r="D557" s="124"/>
      <c r="E557" s="124"/>
      <c r="F557" s="124"/>
      <c r="G557" s="124"/>
      <c r="H557" s="124"/>
      <c r="I557" s="132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</row>
    <row r="558" hidden="1">
      <c r="A558" s="132"/>
      <c r="B558" s="124"/>
      <c r="C558" s="124"/>
      <c r="D558" s="124"/>
      <c r="E558" s="124"/>
      <c r="F558" s="124"/>
      <c r="G558" s="124"/>
      <c r="H558" s="124"/>
      <c r="I558" s="132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</row>
    <row r="559" hidden="1">
      <c r="A559" s="132"/>
      <c r="B559" s="124"/>
      <c r="C559" s="124"/>
      <c r="D559" s="124"/>
      <c r="E559" s="124"/>
      <c r="F559" s="124"/>
      <c r="G559" s="124"/>
      <c r="H559" s="124"/>
      <c r="I559" s="132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</row>
    <row r="560" hidden="1">
      <c r="A560" s="132"/>
      <c r="B560" s="124"/>
      <c r="C560" s="124"/>
      <c r="D560" s="124"/>
      <c r="E560" s="124"/>
      <c r="F560" s="124"/>
      <c r="G560" s="124"/>
      <c r="H560" s="124"/>
      <c r="I560" s="132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</row>
    <row r="561" hidden="1">
      <c r="A561" s="132"/>
      <c r="B561" s="124"/>
      <c r="C561" s="124"/>
      <c r="D561" s="124"/>
      <c r="E561" s="124"/>
      <c r="F561" s="124"/>
      <c r="G561" s="124"/>
      <c r="H561" s="124"/>
      <c r="I561" s="132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</row>
    <row r="562" hidden="1">
      <c r="A562" s="132"/>
      <c r="B562" s="124"/>
      <c r="C562" s="124"/>
      <c r="D562" s="124"/>
      <c r="E562" s="124"/>
      <c r="F562" s="124"/>
      <c r="G562" s="124"/>
      <c r="H562" s="124"/>
      <c r="I562" s="132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</row>
    <row r="563" hidden="1">
      <c r="A563" s="132"/>
      <c r="B563" s="124"/>
      <c r="C563" s="124"/>
      <c r="D563" s="124"/>
      <c r="E563" s="124"/>
      <c r="F563" s="124"/>
      <c r="G563" s="124"/>
      <c r="H563" s="124"/>
      <c r="I563" s="132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</row>
    <row r="564" hidden="1">
      <c r="A564" s="132"/>
      <c r="B564" s="124"/>
      <c r="C564" s="124"/>
      <c r="D564" s="124"/>
      <c r="E564" s="124"/>
      <c r="F564" s="124"/>
      <c r="G564" s="124"/>
      <c r="H564" s="124"/>
      <c r="I564" s="132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</row>
    <row r="565" hidden="1">
      <c r="A565" s="132"/>
      <c r="B565" s="124"/>
      <c r="C565" s="124"/>
      <c r="D565" s="124"/>
      <c r="E565" s="124"/>
      <c r="F565" s="124"/>
      <c r="G565" s="124"/>
      <c r="H565" s="124"/>
      <c r="I565" s="132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</row>
    <row r="566" hidden="1">
      <c r="A566" s="132"/>
      <c r="B566" s="124"/>
      <c r="C566" s="124"/>
      <c r="D566" s="124"/>
      <c r="E566" s="124"/>
      <c r="F566" s="124"/>
      <c r="G566" s="124"/>
      <c r="H566" s="124"/>
      <c r="I566" s="132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</row>
    <row r="567" hidden="1">
      <c r="A567" s="132"/>
      <c r="B567" s="124"/>
      <c r="C567" s="124"/>
      <c r="D567" s="124"/>
      <c r="E567" s="124"/>
      <c r="F567" s="124"/>
      <c r="G567" s="124"/>
      <c r="H567" s="124"/>
      <c r="I567" s="132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</row>
    <row r="568" hidden="1">
      <c r="A568" s="132"/>
      <c r="B568" s="124"/>
      <c r="C568" s="124"/>
      <c r="D568" s="124"/>
      <c r="E568" s="124"/>
      <c r="F568" s="124"/>
      <c r="G568" s="124"/>
      <c r="H568" s="124"/>
      <c r="I568" s="132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</row>
    <row r="569" hidden="1">
      <c r="A569" s="132"/>
      <c r="B569" s="124"/>
      <c r="C569" s="124"/>
      <c r="D569" s="124"/>
      <c r="E569" s="124"/>
      <c r="F569" s="124"/>
      <c r="G569" s="124"/>
      <c r="H569" s="124"/>
      <c r="I569" s="132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</row>
    <row r="570" hidden="1">
      <c r="A570" s="132"/>
      <c r="B570" s="124"/>
      <c r="C570" s="124"/>
      <c r="D570" s="124"/>
      <c r="E570" s="124"/>
      <c r="F570" s="124"/>
      <c r="G570" s="124"/>
      <c r="H570" s="124"/>
      <c r="I570" s="132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</row>
    <row r="571" hidden="1">
      <c r="A571" s="132"/>
      <c r="B571" s="124"/>
      <c r="C571" s="124"/>
      <c r="D571" s="124"/>
      <c r="E571" s="124"/>
      <c r="F571" s="124"/>
      <c r="G571" s="124"/>
      <c r="H571" s="124"/>
      <c r="I571" s="132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</row>
    <row r="572" hidden="1">
      <c r="A572" s="132"/>
      <c r="B572" s="124"/>
      <c r="C572" s="124"/>
      <c r="D572" s="124"/>
      <c r="E572" s="124"/>
      <c r="F572" s="124"/>
      <c r="G572" s="124"/>
      <c r="H572" s="124"/>
      <c r="I572" s="132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</row>
    <row r="573" hidden="1">
      <c r="A573" s="132"/>
      <c r="B573" s="124"/>
      <c r="C573" s="124"/>
      <c r="D573" s="124"/>
      <c r="E573" s="124"/>
      <c r="F573" s="124"/>
      <c r="G573" s="124"/>
      <c r="H573" s="124"/>
      <c r="I573" s="132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</row>
    <row r="574" hidden="1">
      <c r="A574" s="132"/>
      <c r="B574" s="124"/>
      <c r="C574" s="124"/>
      <c r="D574" s="124"/>
      <c r="E574" s="124"/>
      <c r="F574" s="124"/>
      <c r="G574" s="124"/>
      <c r="H574" s="124"/>
      <c r="I574" s="132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</row>
    <row r="575" hidden="1">
      <c r="A575" s="132"/>
      <c r="B575" s="124"/>
      <c r="C575" s="124"/>
      <c r="D575" s="124"/>
      <c r="E575" s="124"/>
      <c r="F575" s="124"/>
      <c r="G575" s="124"/>
      <c r="H575" s="124"/>
      <c r="I575" s="132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</row>
    <row r="576" hidden="1">
      <c r="A576" s="132"/>
      <c r="B576" s="124"/>
      <c r="C576" s="124"/>
      <c r="D576" s="124"/>
      <c r="E576" s="124"/>
      <c r="F576" s="124"/>
      <c r="G576" s="124"/>
      <c r="H576" s="124"/>
      <c r="I576" s="132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</row>
    <row r="577" hidden="1">
      <c r="A577" s="132"/>
      <c r="B577" s="124"/>
      <c r="C577" s="124"/>
      <c r="D577" s="124"/>
      <c r="E577" s="124"/>
      <c r="F577" s="124"/>
      <c r="G577" s="124"/>
      <c r="H577" s="124"/>
      <c r="I577" s="132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</row>
    <row r="578" hidden="1">
      <c r="A578" s="132"/>
      <c r="B578" s="124"/>
      <c r="C578" s="124"/>
      <c r="D578" s="124"/>
      <c r="E578" s="124"/>
      <c r="F578" s="124"/>
      <c r="G578" s="124"/>
      <c r="H578" s="124"/>
      <c r="I578" s="132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</row>
    <row r="579" hidden="1">
      <c r="A579" s="132"/>
      <c r="B579" s="124"/>
      <c r="C579" s="124"/>
      <c r="D579" s="124"/>
      <c r="E579" s="124"/>
      <c r="F579" s="124"/>
      <c r="G579" s="124"/>
      <c r="H579" s="124"/>
      <c r="I579" s="132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</row>
    <row r="580" hidden="1">
      <c r="A580" s="132"/>
      <c r="B580" s="124"/>
      <c r="C580" s="124"/>
      <c r="D580" s="124"/>
      <c r="E580" s="124"/>
      <c r="F580" s="124"/>
      <c r="G580" s="124"/>
      <c r="H580" s="124"/>
      <c r="I580" s="132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</row>
    <row r="581" hidden="1">
      <c r="A581" s="132"/>
      <c r="B581" s="124"/>
      <c r="C581" s="124"/>
      <c r="D581" s="124"/>
      <c r="E581" s="124"/>
      <c r="F581" s="124"/>
      <c r="G581" s="124"/>
      <c r="H581" s="124"/>
      <c r="I581" s="132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</row>
    <row r="582" hidden="1">
      <c r="A582" s="132"/>
      <c r="B582" s="124"/>
      <c r="C582" s="124"/>
      <c r="D582" s="124"/>
      <c r="E582" s="124"/>
      <c r="F582" s="124"/>
      <c r="G582" s="124"/>
      <c r="H582" s="124"/>
      <c r="I582" s="132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</row>
    <row r="583" hidden="1">
      <c r="A583" s="132"/>
      <c r="B583" s="124"/>
      <c r="C583" s="124"/>
      <c r="D583" s="124"/>
      <c r="E583" s="124"/>
      <c r="F583" s="124"/>
      <c r="G583" s="124"/>
      <c r="H583" s="124"/>
      <c r="I583" s="132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</row>
    <row r="584" hidden="1">
      <c r="A584" s="132"/>
      <c r="B584" s="124"/>
      <c r="C584" s="124"/>
      <c r="D584" s="124"/>
      <c r="E584" s="124"/>
      <c r="F584" s="124"/>
      <c r="G584" s="124"/>
      <c r="H584" s="124"/>
      <c r="I584" s="132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</row>
    <row r="585" hidden="1">
      <c r="A585" s="132"/>
      <c r="B585" s="124"/>
      <c r="C585" s="124"/>
      <c r="D585" s="124"/>
      <c r="E585" s="124"/>
      <c r="F585" s="124"/>
      <c r="G585" s="124"/>
      <c r="H585" s="124"/>
      <c r="I585" s="132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</row>
    <row r="586" hidden="1">
      <c r="A586" s="132"/>
      <c r="B586" s="124"/>
      <c r="C586" s="124"/>
      <c r="D586" s="124"/>
      <c r="E586" s="124"/>
      <c r="F586" s="124"/>
      <c r="G586" s="124"/>
      <c r="H586" s="124"/>
      <c r="I586" s="132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</row>
    <row r="587" hidden="1">
      <c r="A587" s="132"/>
      <c r="B587" s="124"/>
      <c r="C587" s="124"/>
      <c r="D587" s="124"/>
      <c r="E587" s="124"/>
      <c r="F587" s="124"/>
      <c r="G587" s="124"/>
      <c r="H587" s="124"/>
      <c r="I587" s="132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</row>
    <row r="588" hidden="1">
      <c r="A588" s="132"/>
      <c r="B588" s="124"/>
      <c r="C588" s="124"/>
      <c r="D588" s="124"/>
      <c r="E588" s="124"/>
      <c r="F588" s="124"/>
      <c r="G588" s="124"/>
      <c r="H588" s="124"/>
      <c r="I588" s="132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</row>
    <row r="589" hidden="1">
      <c r="A589" s="132"/>
      <c r="B589" s="124"/>
      <c r="C589" s="124"/>
      <c r="D589" s="124"/>
      <c r="E589" s="124"/>
      <c r="F589" s="124"/>
      <c r="G589" s="124"/>
      <c r="H589" s="124"/>
      <c r="I589" s="132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</row>
    <row r="590" hidden="1">
      <c r="A590" s="132"/>
      <c r="B590" s="124"/>
      <c r="C590" s="124"/>
      <c r="D590" s="124"/>
      <c r="E590" s="124"/>
      <c r="F590" s="124"/>
      <c r="G590" s="124"/>
      <c r="H590" s="124"/>
      <c r="I590" s="132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</row>
    <row r="591" hidden="1">
      <c r="A591" s="132"/>
      <c r="B591" s="124"/>
      <c r="C591" s="124"/>
      <c r="D591" s="124"/>
      <c r="E591" s="124"/>
      <c r="F591" s="124"/>
      <c r="G591" s="124"/>
      <c r="H591" s="124"/>
      <c r="I591" s="132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</row>
    <row r="592" hidden="1">
      <c r="A592" s="132"/>
      <c r="B592" s="124"/>
      <c r="C592" s="124"/>
      <c r="D592" s="124"/>
      <c r="E592" s="124"/>
      <c r="F592" s="124"/>
      <c r="G592" s="124"/>
      <c r="H592" s="124"/>
      <c r="I592" s="132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</row>
    <row r="593" hidden="1">
      <c r="A593" s="132"/>
      <c r="B593" s="124"/>
      <c r="C593" s="124"/>
      <c r="D593" s="124"/>
      <c r="E593" s="124"/>
      <c r="F593" s="124"/>
      <c r="G593" s="124"/>
      <c r="H593" s="124"/>
      <c r="I593" s="132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</row>
    <row r="594" hidden="1">
      <c r="A594" s="132"/>
      <c r="B594" s="124"/>
      <c r="C594" s="124"/>
      <c r="D594" s="124"/>
      <c r="E594" s="124"/>
      <c r="F594" s="124"/>
      <c r="G594" s="124"/>
      <c r="H594" s="124"/>
      <c r="I594" s="132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</row>
    <row r="595" hidden="1">
      <c r="A595" s="132"/>
      <c r="B595" s="124"/>
      <c r="C595" s="124"/>
      <c r="D595" s="124"/>
      <c r="E595" s="124"/>
      <c r="F595" s="124"/>
      <c r="G595" s="124"/>
      <c r="H595" s="124"/>
      <c r="I595" s="132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</row>
    <row r="596" hidden="1">
      <c r="A596" s="132"/>
      <c r="B596" s="124"/>
      <c r="C596" s="124"/>
      <c r="D596" s="124"/>
      <c r="E596" s="124"/>
      <c r="F596" s="124"/>
      <c r="G596" s="124"/>
      <c r="H596" s="124"/>
      <c r="I596" s="132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</row>
    <row r="597" hidden="1">
      <c r="A597" s="132"/>
      <c r="B597" s="124"/>
      <c r="C597" s="124"/>
      <c r="D597" s="124"/>
      <c r="E597" s="124"/>
      <c r="F597" s="124"/>
      <c r="G597" s="124"/>
      <c r="H597" s="124"/>
      <c r="I597" s="132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</row>
    <row r="598" hidden="1">
      <c r="A598" s="132"/>
      <c r="B598" s="124"/>
      <c r="C598" s="124"/>
      <c r="D598" s="124"/>
      <c r="E598" s="124"/>
      <c r="F598" s="124"/>
      <c r="G598" s="124"/>
      <c r="H598" s="124"/>
      <c r="I598" s="132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</row>
    <row r="599" hidden="1">
      <c r="A599" s="132"/>
      <c r="B599" s="124"/>
      <c r="C599" s="124"/>
      <c r="D599" s="124"/>
      <c r="E599" s="124"/>
      <c r="F599" s="124"/>
      <c r="G599" s="124"/>
      <c r="H599" s="124"/>
      <c r="I599" s="132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</row>
    <row r="600" hidden="1">
      <c r="A600" s="132"/>
      <c r="B600" s="124"/>
      <c r="C600" s="124"/>
      <c r="D600" s="124"/>
      <c r="E600" s="124"/>
      <c r="F600" s="124"/>
      <c r="G600" s="124"/>
      <c r="H600" s="124"/>
      <c r="I600" s="132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</row>
    <row r="601" hidden="1">
      <c r="A601" s="132"/>
      <c r="B601" s="124"/>
      <c r="C601" s="124"/>
      <c r="D601" s="124"/>
      <c r="E601" s="124"/>
      <c r="F601" s="124"/>
      <c r="G601" s="124"/>
      <c r="H601" s="124"/>
      <c r="I601" s="132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</row>
    <row r="602" hidden="1">
      <c r="A602" s="132"/>
      <c r="B602" s="124"/>
      <c r="C602" s="124"/>
      <c r="D602" s="124"/>
      <c r="E602" s="124"/>
      <c r="F602" s="124"/>
      <c r="G602" s="124"/>
      <c r="H602" s="124"/>
      <c r="I602" s="132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</row>
    <row r="603" hidden="1">
      <c r="A603" s="132"/>
      <c r="B603" s="124"/>
      <c r="C603" s="124"/>
      <c r="D603" s="124"/>
      <c r="E603" s="124"/>
      <c r="F603" s="124"/>
      <c r="G603" s="124"/>
      <c r="H603" s="124"/>
      <c r="I603" s="132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</row>
    <row r="604" hidden="1">
      <c r="A604" s="132"/>
      <c r="B604" s="124"/>
      <c r="C604" s="124"/>
      <c r="D604" s="124"/>
      <c r="E604" s="124"/>
      <c r="F604" s="124"/>
      <c r="G604" s="124"/>
      <c r="H604" s="124"/>
      <c r="I604" s="132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</row>
    <row r="605" hidden="1">
      <c r="A605" s="132"/>
      <c r="B605" s="124"/>
      <c r="C605" s="124"/>
      <c r="D605" s="124"/>
      <c r="E605" s="124"/>
      <c r="F605" s="124"/>
      <c r="G605" s="124"/>
      <c r="H605" s="124"/>
      <c r="I605" s="132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</row>
    <row r="606" hidden="1">
      <c r="A606" s="132"/>
      <c r="B606" s="124"/>
      <c r="C606" s="124"/>
      <c r="D606" s="124"/>
      <c r="E606" s="124"/>
      <c r="F606" s="124"/>
      <c r="G606" s="124"/>
      <c r="H606" s="124"/>
      <c r="I606" s="132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</row>
    <row r="607" hidden="1">
      <c r="A607" s="132"/>
      <c r="B607" s="124"/>
      <c r="C607" s="124"/>
      <c r="D607" s="124"/>
      <c r="E607" s="124"/>
      <c r="F607" s="124"/>
      <c r="G607" s="124"/>
      <c r="H607" s="124"/>
      <c r="I607" s="132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</row>
    <row r="608" hidden="1">
      <c r="A608" s="132"/>
      <c r="B608" s="124"/>
      <c r="C608" s="124"/>
      <c r="D608" s="124"/>
      <c r="E608" s="124"/>
      <c r="F608" s="124"/>
      <c r="G608" s="124"/>
      <c r="H608" s="124"/>
      <c r="I608" s="132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</row>
    <row r="609" hidden="1">
      <c r="A609" s="132"/>
      <c r="B609" s="124"/>
      <c r="C609" s="124"/>
      <c r="D609" s="124"/>
      <c r="E609" s="124"/>
      <c r="F609" s="124"/>
      <c r="G609" s="124"/>
      <c r="H609" s="124"/>
      <c r="I609" s="132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</row>
    <row r="610" hidden="1">
      <c r="A610" s="132"/>
      <c r="B610" s="124"/>
      <c r="C610" s="124"/>
      <c r="D610" s="124"/>
      <c r="E610" s="124"/>
      <c r="F610" s="124"/>
      <c r="G610" s="124"/>
      <c r="H610" s="124"/>
      <c r="I610" s="132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</row>
    <row r="611" hidden="1">
      <c r="A611" s="132"/>
      <c r="B611" s="124"/>
      <c r="C611" s="124"/>
      <c r="D611" s="124"/>
      <c r="E611" s="124"/>
      <c r="F611" s="124"/>
      <c r="G611" s="124"/>
      <c r="H611" s="124"/>
      <c r="I611" s="132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</row>
    <row r="612" hidden="1">
      <c r="A612" s="132"/>
      <c r="B612" s="124"/>
      <c r="C612" s="124"/>
      <c r="D612" s="124"/>
      <c r="E612" s="124"/>
      <c r="F612" s="124"/>
      <c r="G612" s="124"/>
      <c r="H612" s="124"/>
      <c r="I612" s="132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</row>
    <row r="613" hidden="1">
      <c r="A613" s="132"/>
      <c r="B613" s="124"/>
      <c r="C613" s="124"/>
      <c r="D613" s="124"/>
      <c r="E613" s="124"/>
      <c r="F613" s="124"/>
      <c r="G613" s="124"/>
      <c r="H613" s="124"/>
      <c r="I613" s="132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</row>
    <row r="614" hidden="1">
      <c r="A614" s="132"/>
      <c r="B614" s="124"/>
      <c r="C614" s="124"/>
      <c r="D614" s="124"/>
      <c r="E614" s="124"/>
      <c r="F614" s="124"/>
      <c r="G614" s="124"/>
      <c r="H614" s="124"/>
      <c r="I614" s="132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</row>
    <row r="615" hidden="1">
      <c r="A615" s="132"/>
      <c r="B615" s="124"/>
      <c r="C615" s="124"/>
      <c r="D615" s="124"/>
      <c r="E615" s="124"/>
      <c r="F615" s="124"/>
      <c r="G615" s="124"/>
      <c r="H615" s="124"/>
      <c r="I615" s="132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</row>
    <row r="616" hidden="1">
      <c r="A616" s="132"/>
      <c r="B616" s="124"/>
      <c r="C616" s="124"/>
      <c r="D616" s="124"/>
      <c r="E616" s="124"/>
      <c r="F616" s="124"/>
      <c r="G616" s="124"/>
      <c r="H616" s="124"/>
      <c r="I616" s="132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</row>
    <row r="617" hidden="1">
      <c r="A617" s="132"/>
      <c r="B617" s="124"/>
      <c r="C617" s="124"/>
      <c r="D617" s="124"/>
      <c r="E617" s="124"/>
      <c r="F617" s="124"/>
      <c r="G617" s="124"/>
      <c r="H617" s="124"/>
      <c r="I617" s="132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</row>
    <row r="618" hidden="1">
      <c r="A618" s="132"/>
      <c r="B618" s="124"/>
      <c r="C618" s="124"/>
      <c r="D618" s="124"/>
      <c r="E618" s="124"/>
      <c r="F618" s="124"/>
      <c r="G618" s="124"/>
      <c r="H618" s="124"/>
      <c r="I618" s="132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</row>
    <row r="619" hidden="1">
      <c r="A619" s="132"/>
      <c r="B619" s="124"/>
      <c r="C619" s="124"/>
      <c r="D619" s="124"/>
      <c r="E619" s="124"/>
      <c r="F619" s="124"/>
      <c r="G619" s="124"/>
      <c r="H619" s="124"/>
      <c r="I619" s="132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</row>
    <row r="620" hidden="1">
      <c r="A620" s="132"/>
      <c r="B620" s="124"/>
      <c r="C620" s="124"/>
      <c r="D620" s="124"/>
      <c r="E620" s="124"/>
      <c r="F620" s="124"/>
      <c r="G620" s="124"/>
      <c r="H620" s="124"/>
      <c r="I620" s="132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</row>
    <row r="621" hidden="1">
      <c r="A621" s="132"/>
      <c r="B621" s="124"/>
      <c r="C621" s="124"/>
      <c r="D621" s="124"/>
      <c r="E621" s="124"/>
      <c r="F621" s="124"/>
      <c r="G621" s="124"/>
      <c r="H621" s="124"/>
      <c r="I621" s="132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</row>
    <row r="622" hidden="1">
      <c r="A622" s="132"/>
      <c r="B622" s="124"/>
      <c r="C622" s="124"/>
      <c r="D622" s="124"/>
      <c r="E622" s="124"/>
      <c r="F622" s="124"/>
      <c r="G622" s="124"/>
      <c r="H622" s="124"/>
      <c r="I622" s="132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</row>
    <row r="623" hidden="1">
      <c r="A623" s="132"/>
      <c r="B623" s="124"/>
      <c r="C623" s="124"/>
      <c r="D623" s="124"/>
      <c r="E623" s="124"/>
      <c r="F623" s="124"/>
      <c r="G623" s="124"/>
      <c r="H623" s="124"/>
      <c r="I623" s="132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</row>
    <row r="624" hidden="1">
      <c r="A624" s="132"/>
      <c r="B624" s="124"/>
      <c r="C624" s="124"/>
      <c r="D624" s="124"/>
      <c r="E624" s="124"/>
      <c r="F624" s="124"/>
      <c r="G624" s="124"/>
      <c r="H624" s="124"/>
      <c r="I624" s="132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</row>
    <row r="625" hidden="1">
      <c r="A625" s="132"/>
      <c r="B625" s="124"/>
      <c r="C625" s="124"/>
      <c r="D625" s="124"/>
      <c r="E625" s="124"/>
      <c r="F625" s="124"/>
      <c r="G625" s="124"/>
      <c r="H625" s="124"/>
      <c r="I625" s="132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</row>
    <row r="626" hidden="1">
      <c r="A626" s="132"/>
      <c r="B626" s="124"/>
      <c r="C626" s="124"/>
      <c r="D626" s="124"/>
      <c r="E626" s="124"/>
      <c r="F626" s="124"/>
      <c r="G626" s="124"/>
      <c r="H626" s="124"/>
      <c r="I626" s="132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</row>
    <row r="627" hidden="1">
      <c r="A627" s="132"/>
      <c r="B627" s="124"/>
      <c r="C627" s="124"/>
      <c r="D627" s="124"/>
      <c r="E627" s="124"/>
      <c r="F627" s="124"/>
      <c r="G627" s="124"/>
      <c r="H627" s="124"/>
      <c r="I627" s="132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</row>
    <row r="628" hidden="1">
      <c r="A628" s="132"/>
      <c r="B628" s="124"/>
      <c r="C628" s="124"/>
      <c r="D628" s="124"/>
      <c r="E628" s="124"/>
      <c r="F628" s="124"/>
      <c r="G628" s="124"/>
      <c r="H628" s="124"/>
      <c r="I628" s="132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</row>
    <row r="629" hidden="1">
      <c r="A629" s="132"/>
      <c r="B629" s="124"/>
      <c r="C629" s="124"/>
      <c r="D629" s="124"/>
      <c r="E629" s="124"/>
      <c r="F629" s="124"/>
      <c r="G629" s="124"/>
      <c r="H629" s="124"/>
      <c r="I629" s="132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</row>
    <row r="630" hidden="1">
      <c r="A630" s="132"/>
      <c r="B630" s="124"/>
      <c r="C630" s="124"/>
      <c r="D630" s="124"/>
      <c r="E630" s="124"/>
      <c r="F630" s="124"/>
      <c r="G630" s="124"/>
      <c r="H630" s="124"/>
      <c r="I630" s="132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</row>
    <row r="631" hidden="1">
      <c r="A631" s="132"/>
      <c r="B631" s="124"/>
      <c r="C631" s="124"/>
      <c r="D631" s="124"/>
      <c r="E631" s="124"/>
      <c r="F631" s="124"/>
      <c r="G631" s="124"/>
      <c r="H631" s="124"/>
      <c r="I631" s="132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</row>
    <row r="632" hidden="1">
      <c r="A632" s="132"/>
      <c r="B632" s="124"/>
      <c r="C632" s="124"/>
      <c r="D632" s="124"/>
      <c r="E632" s="124"/>
      <c r="F632" s="124"/>
      <c r="G632" s="124"/>
      <c r="H632" s="124"/>
      <c r="I632" s="132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</row>
    <row r="633" hidden="1">
      <c r="A633" s="132"/>
      <c r="B633" s="124"/>
      <c r="C633" s="124"/>
      <c r="D633" s="124"/>
      <c r="E633" s="124"/>
      <c r="F633" s="124"/>
      <c r="G633" s="124"/>
      <c r="H633" s="124"/>
      <c r="I633" s="132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</row>
    <row r="634" hidden="1">
      <c r="A634" s="132"/>
      <c r="B634" s="124"/>
      <c r="C634" s="124"/>
      <c r="D634" s="124"/>
      <c r="E634" s="124"/>
      <c r="F634" s="124"/>
      <c r="G634" s="124"/>
      <c r="H634" s="124"/>
      <c r="I634" s="132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</row>
    <row r="635" hidden="1">
      <c r="A635" s="132"/>
      <c r="B635" s="124"/>
      <c r="C635" s="124"/>
      <c r="D635" s="124"/>
      <c r="E635" s="124"/>
      <c r="F635" s="124"/>
      <c r="G635" s="124"/>
      <c r="H635" s="124"/>
      <c r="I635" s="132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</row>
    <row r="636" hidden="1">
      <c r="A636" s="132"/>
      <c r="B636" s="124"/>
      <c r="C636" s="124"/>
      <c r="D636" s="124"/>
      <c r="E636" s="124"/>
      <c r="F636" s="124"/>
      <c r="G636" s="124"/>
      <c r="H636" s="124"/>
      <c r="I636" s="132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</row>
    <row r="637" hidden="1">
      <c r="A637" s="132"/>
      <c r="B637" s="124"/>
      <c r="C637" s="124"/>
      <c r="D637" s="124"/>
      <c r="E637" s="124"/>
      <c r="F637" s="124"/>
      <c r="G637" s="124"/>
      <c r="H637" s="124"/>
      <c r="I637" s="132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</row>
    <row r="638" hidden="1">
      <c r="A638" s="132"/>
      <c r="B638" s="124"/>
      <c r="C638" s="124"/>
      <c r="D638" s="124"/>
      <c r="E638" s="124"/>
      <c r="F638" s="124"/>
      <c r="G638" s="124"/>
      <c r="H638" s="124"/>
      <c r="I638" s="132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</row>
    <row r="639" hidden="1">
      <c r="A639" s="132"/>
      <c r="B639" s="124"/>
      <c r="C639" s="124"/>
      <c r="D639" s="124"/>
      <c r="E639" s="124"/>
      <c r="F639" s="124"/>
      <c r="G639" s="124"/>
      <c r="H639" s="124"/>
      <c r="I639" s="132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</row>
    <row r="640" hidden="1">
      <c r="A640" s="132"/>
      <c r="B640" s="124"/>
      <c r="C640" s="124"/>
      <c r="D640" s="124"/>
      <c r="E640" s="124"/>
      <c r="F640" s="124"/>
      <c r="G640" s="124"/>
      <c r="H640" s="124"/>
      <c r="I640" s="132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</row>
    <row r="641" hidden="1">
      <c r="A641" s="132"/>
      <c r="B641" s="124"/>
      <c r="C641" s="124"/>
      <c r="D641" s="124"/>
      <c r="E641" s="124"/>
      <c r="F641" s="124"/>
      <c r="G641" s="124"/>
      <c r="H641" s="124"/>
      <c r="I641" s="132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</row>
    <row r="642" hidden="1">
      <c r="A642" s="132"/>
      <c r="B642" s="124"/>
      <c r="C642" s="124"/>
      <c r="D642" s="124"/>
      <c r="E642" s="124"/>
      <c r="F642" s="124"/>
      <c r="G642" s="124"/>
      <c r="H642" s="124"/>
      <c r="I642" s="132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</row>
    <row r="643" hidden="1">
      <c r="A643" s="132"/>
      <c r="B643" s="124"/>
      <c r="C643" s="124"/>
      <c r="D643" s="124"/>
      <c r="E643" s="124"/>
      <c r="F643" s="124"/>
      <c r="G643" s="124"/>
      <c r="H643" s="124"/>
      <c r="I643" s="132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</row>
    <row r="644" hidden="1">
      <c r="A644" s="132"/>
      <c r="B644" s="124"/>
      <c r="C644" s="124"/>
      <c r="D644" s="124"/>
      <c r="E644" s="124"/>
      <c r="F644" s="124"/>
      <c r="G644" s="124"/>
      <c r="H644" s="124"/>
      <c r="I644" s="132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</row>
    <row r="645" hidden="1">
      <c r="A645" s="132"/>
      <c r="B645" s="124"/>
      <c r="C645" s="124"/>
      <c r="D645" s="124"/>
      <c r="E645" s="124"/>
      <c r="F645" s="124"/>
      <c r="G645" s="124"/>
      <c r="H645" s="124"/>
      <c r="I645" s="132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</row>
    <row r="646" hidden="1">
      <c r="A646" s="132"/>
      <c r="B646" s="124"/>
      <c r="C646" s="124"/>
      <c r="D646" s="124"/>
      <c r="E646" s="124"/>
      <c r="F646" s="124"/>
      <c r="G646" s="124"/>
      <c r="H646" s="124"/>
      <c r="I646" s="132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</row>
    <row r="647" hidden="1">
      <c r="A647" s="132"/>
      <c r="B647" s="124"/>
      <c r="C647" s="124"/>
      <c r="D647" s="124"/>
      <c r="E647" s="124"/>
      <c r="F647" s="124"/>
      <c r="G647" s="124"/>
      <c r="H647" s="124"/>
      <c r="I647" s="132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</row>
    <row r="648" hidden="1">
      <c r="A648" s="132"/>
      <c r="B648" s="124"/>
      <c r="C648" s="124"/>
      <c r="D648" s="124"/>
      <c r="E648" s="124"/>
      <c r="F648" s="124"/>
      <c r="G648" s="124"/>
      <c r="H648" s="124"/>
      <c r="I648" s="132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</row>
    <row r="649" hidden="1">
      <c r="A649" s="132"/>
      <c r="B649" s="124"/>
      <c r="C649" s="124"/>
      <c r="D649" s="124"/>
      <c r="E649" s="124"/>
      <c r="F649" s="124"/>
      <c r="G649" s="124"/>
      <c r="H649" s="124"/>
      <c r="I649" s="132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</row>
    <row r="650" hidden="1">
      <c r="A650" s="132"/>
      <c r="B650" s="124"/>
      <c r="C650" s="124"/>
      <c r="D650" s="124"/>
      <c r="E650" s="124"/>
      <c r="F650" s="124"/>
      <c r="G650" s="124"/>
      <c r="H650" s="124"/>
      <c r="I650" s="132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</row>
    <row r="651" hidden="1">
      <c r="A651" s="132"/>
      <c r="B651" s="124"/>
      <c r="C651" s="124"/>
      <c r="D651" s="124"/>
      <c r="E651" s="124"/>
      <c r="F651" s="124"/>
      <c r="G651" s="124"/>
      <c r="H651" s="124"/>
      <c r="I651" s="132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</row>
    <row r="652" hidden="1">
      <c r="A652" s="132"/>
      <c r="B652" s="124"/>
      <c r="C652" s="124"/>
      <c r="D652" s="124"/>
      <c r="E652" s="124"/>
      <c r="F652" s="124"/>
      <c r="G652" s="124"/>
      <c r="H652" s="124"/>
      <c r="I652" s="132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</row>
    <row r="653" hidden="1">
      <c r="A653" s="132"/>
      <c r="B653" s="124"/>
      <c r="C653" s="124"/>
      <c r="D653" s="124"/>
      <c r="E653" s="124"/>
      <c r="F653" s="124"/>
      <c r="G653" s="124"/>
      <c r="H653" s="124"/>
      <c r="I653" s="132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</row>
    <row r="654" hidden="1">
      <c r="A654" s="132"/>
      <c r="B654" s="124"/>
      <c r="C654" s="124"/>
      <c r="D654" s="124"/>
      <c r="E654" s="124"/>
      <c r="F654" s="124"/>
      <c r="G654" s="124"/>
      <c r="H654" s="124"/>
      <c r="I654" s="132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</row>
    <row r="655" hidden="1">
      <c r="A655" s="132"/>
      <c r="B655" s="124"/>
      <c r="C655" s="124"/>
      <c r="D655" s="124"/>
      <c r="E655" s="124"/>
      <c r="F655" s="124"/>
      <c r="G655" s="124"/>
      <c r="H655" s="124"/>
      <c r="I655" s="132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</row>
    <row r="656" hidden="1">
      <c r="A656" s="132"/>
      <c r="B656" s="124"/>
      <c r="C656" s="124"/>
      <c r="D656" s="124"/>
      <c r="E656" s="124"/>
      <c r="F656" s="124"/>
      <c r="G656" s="124"/>
      <c r="H656" s="124"/>
      <c r="I656" s="132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</row>
    <row r="657" hidden="1">
      <c r="A657" s="132"/>
      <c r="B657" s="124"/>
      <c r="C657" s="124"/>
      <c r="D657" s="124"/>
      <c r="E657" s="124"/>
      <c r="F657" s="124"/>
      <c r="G657" s="124"/>
      <c r="H657" s="124"/>
      <c r="I657" s="132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</row>
    <row r="658" hidden="1">
      <c r="A658" s="132"/>
      <c r="B658" s="124"/>
      <c r="C658" s="124"/>
      <c r="D658" s="124"/>
      <c r="E658" s="124"/>
      <c r="F658" s="124"/>
      <c r="G658" s="124"/>
      <c r="H658" s="124"/>
      <c r="I658" s="132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</row>
    <row r="659" hidden="1">
      <c r="A659" s="132"/>
      <c r="B659" s="124"/>
      <c r="C659" s="124"/>
      <c r="D659" s="124"/>
      <c r="E659" s="124"/>
      <c r="F659" s="124"/>
      <c r="G659" s="124"/>
      <c r="H659" s="124"/>
      <c r="I659" s="132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</row>
    <row r="660" hidden="1">
      <c r="A660" s="132"/>
      <c r="B660" s="124"/>
      <c r="C660" s="124"/>
      <c r="D660" s="124"/>
      <c r="E660" s="124"/>
      <c r="F660" s="124"/>
      <c r="G660" s="124"/>
      <c r="H660" s="124"/>
      <c r="I660" s="132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</row>
    <row r="661" hidden="1">
      <c r="A661" s="132"/>
      <c r="B661" s="124"/>
      <c r="C661" s="124"/>
      <c r="D661" s="124"/>
      <c r="E661" s="124"/>
      <c r="F661" s="124"/>
      <c r="G661" s="124"/>
      <c r="H661" s="124"/>
      <c r="I661" s="132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</row>
    <row r="662" hidden="1">
      <c r="A662" s="132"/>
      <c r="B662" s="124"/>
      <c r="C662" s="124"/>
      <c r="D662" s="124"/>
      <c r="E662" s="124"/>
      <c r="F662" s="124"/>
      <c r="G662" s="124"/>
      <c r="H662" s="124"/>
      <c r="I662" s="132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</row>
    <row r="663" hidden="1">
      <c r="A663" s="132"/>
      <c r="B663" s="124"/>
      <c r="C663" s="124"/>
      <c r="D663" s="124"/>
      <c r="E663" s="124"/>
      <c r="F663" s="124"/>
      <c r="G663" s="124"/>
      <c r="H663" s="124"/>
      <c r="I663" s="132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</row>
    <row r="664" hidden="1">
      <c r="A664" s="132"/>
      <c r="B664" s="124"/>
      <c r="C664" s="124"/>
      <c r="D664" s="124"/>
      <c r="E664" s="124"/>
      <c r="F664" s="124"/>
      <c r="G664" s="124"/>
      <c r="H664" s="124"/>
      <c r="I664" s="132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</row>
    <row r="665" hidden="1">
      <c r="A665" s="132"/>
      <c r="B665" s="124"/>
      <c r="C665" s="124"/>
      <c r="D665" s="124"/>
      <c r="E665" s="124"/>
      <c r="F665" s="124"/>
      <c r="G665" s="124"/>
      <c r="H665" s="124"/>
      <c r="I665" s="132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</row>
    <row r="666" hidden="1">
      <c r="A666" s="132"/>
      <c r="B666" s="124"/>
      <c r="C666" s="124"/>
      <c r="D666" s="124"/>
      <c r="E666" s="124"/>
      <c r="F666" s="124"/>
      <c r="G666" s="124"/>
      <c r="H666" s="124"/>
      <c r="I666" s="132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</row>
    <row r="667" hidden="1">
      <c r="A667" s="132"/>
      <c r="B667" s="124"/>
      <c r="C667" s="124"/>
      <c r="D667" s="124"/>
      <c r="E667" s="124"/>
      <c r="F667" s="124"/>
      <c r="G667" s="124"/>
      <c r="H667" s="124"/>
      <c r="I667" s="132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</row>
    <row r="668" hidden="1">
      <c r="A668" s="132"/>
      <c r="B668" s="124"/>
      <c r="C668" s="124"/>
      <c r="D668" s="124"/>
      <c r="E668" s="124"/>
      <c r="F668" s="124"/>
      <c r="G668" s="124"/>
      <c r="H668" s="124"/>
      <c r="I668" s="132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</row>
    <row r="669" hidden="1">
      <c r="A669" s="132"/>
      <c r="B669" s="124"/>
      <c r="C669" s="124"/>
      <c r="D669" s="124"/>
      <c r="E669" s="124"/>
      <c r="F669" s="124"/>
      <c r="G669" s="124"/>
      <c r="H669" s="124"/>
      <c r="I669" s="132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</row>
    <row r="670" hidden="1">
      <c r="A670" s="132"/>
      <c r="B670" s="124"/>
      <c r="C670" s="124"/>
      <c r="D670" s="124"/>
      <c r="E670" s="124"/>
      <c r="F670" s="124"/>
      <c r="G670" s="124"/>
      <c r="H670" s="124"/>
      <c r="I670" s="132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</row>
    <row r="671" hidden="1">
      <c r="A671" s="132"/>
      <c r="B671" s="124"/>
      <c r="C671" s="124"/>
      <c r="D671" s="124"/>
      <c r="E671" s="124"/>
      <c r="F671" s="124"/>
      <c r="G671" s="124"/>
      <c r="H671" s="124"/>
      <c r="I671" s="132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</row>
    <row r="672" hidden="1">
      <c r="A672" s="132"/>
      <c r="B672" s="124"/>
      <c r="C672" s="124"/>
      <c r="D672" s="124"/>
      <c r="E672" s="124"/>
      <c r="F672" s="124"/>
      <c r="G672" s="124"/>
      <c r="H672" s="124"/>
      <c r="I672" s="132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</row>
    <row r="673" hidden="1">
      <c r="A673" s="132"/>
      <c r="B673" s="124"/>
      <c r="C673" s="124"/>
      <c r="D673" s="124"/>
      <c r="E673" s="124"/>
      <c r="F673" s="124"/>
      <c r="G673" s="124"/>
      <c r="H673" s="124"/>
      <c r="I673" s="132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</row>
    <row r="674" hidden="1">
      <c r="A674" s="132"/>
      <c r="B674" s="124"/>
      <c r="C674" s="124"/>
      <c r="D674" s="124"/>
      <c r="E674" s="124"/>
      <c r="F674" s="124"/>
      <c r="G674" s="124"/>
      <c r="H674" s="124"/>
      <c r="I674" s="132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</row>
    <row r="675" hidden="1">
      <c r="A675" s="132"/>
      <c r="B675" s="124"/>
      <c r="C675" s="124"/>
      <c r="D675" s="124"/>
      <c r="E675" s="124"/>
      <c r="F675" s="124"/>
      <c r="G675" s="124"/>
      <c r="H675" s="124"/>
      <c r="I675" s="132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</row>
    <row r="676" hidden="1">
      <c r="A676" s="132"/>
      <c r="B676" s="124"/>
      <c r="C676" s="124"/>
      <c r="D676" s="124"/>
      <c r="E676" s="124"/>
      <c r="F676" s="124"/>
      <c r="G676" s="124"/>
      <c r="H676" s="124"/>
      <c r="I676" s="132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</row>
    <row r="677" hidden="1">
      <c r="A677" s="132"/>
      <c r="B677" s="124"/>
      <c r="C677" s="124"/>
      <c r="D677" s="124"/>
      <c r="E677" s="124"/>
      <c r="F677" s="124"/>
      <c r="G677" s="124"/>
      <c r="H677" s="124"/>
      <c r="I677" s="132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</row>
    <row r="678" hidden="1">
      <c r="A678" s="132"/>
      <c r="B678" s="124"/>
      <c r="C678" s="124"/>
      <c r="D678" s="124"/>
      <c r="E678" s="124"/>
      <c r="F678" s="124"/>
      <c r="G678" s="124"/>
      <c r="H678" s="124"/>
      <c r="I678" s="132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</row>
    <row r="679" hidden="1">
      <c r="A679" s="132"/>
      <c r="B679" s="124"/>
      <c r="C679" s="124"/>
      <c r="D679" s="124"/>
      <c r="E679" s="124"/>
      <c r="F679" s="124"/>
      <c r="G679" s="124"/>
      <c r="H679" s="124"/>
      <c r="I679" s="132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</row>
    <row r="680" hidden="1">
      <c r="A680" s="132"/>
      <c r="B680" s="124"/>
      <c r="C680" s="124"/>
      <c r="D680" s="124"/>
      <c r="E680" s="124"/>
      <c r="F680" s="124"/>
      <c r="G680" s="124"/>
      <c r="H680" s="124"/>
      <c r="I680" s="132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</row>
    <row r="681" hidden="1">
      <c r="A681" s="132"/>
      <c r="B681" s="124"/>
      <c r="C681" s="124"/>
      <c r="D681" s="124"/>
      <c r="E681" s="124"/>
      <c r="F681" s="124"/>
      <c r="G681" s="124"/>
      <c r="H681" s="124"/>
      <c r="I681" s="132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</row>
    <row r="682" hidden="1">
      <c r="A682" s="132"/>
      <c r="B682" s="124"/>
      <c r="C682" s="124"/>
      <c r="D682" s="124"/>
      <c r="E682" s="124"/>
      <c r="F682" s="124"/>
      <c r="G682" s="124"/>
      <c r="H682" s="124"/>
      <c r="I682" s="132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</row>
    <row r="683" hidden="1">
      <c r="A683" s="132"/>
      <c r="B683" s="124"/>
      <c r="C683" s="124"/>
      <c r="D683" s="124"/>
      <c r="E683" s="124"/>
      <c r="F683" s="124"/>
      <c r="G683" s="124"/>
      <c r="H683" s="124"/>
      <c r="I683" s="132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</row>
    <row r="684" hidden="1">
      <c r="A684" s="132"/>
      <c r="B684" s="124"/>
      <c r="C684" s="124"/>
      <c r="D684" s="124"/>
      <c r="E684" s="124"/>
      <c r="F684" s="124"/>
      <c r="G684" s="124"/>
      <c r="H684" s="124"/>
      <c r="I684" s="132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</row>
    <row r="685" hidden="1">
      <c r="A685" s="132"/>
      <c r="B685" s="124"/>
      <c r="C685" s="124"/>
      <c r="D685" s="124"/>
      <c r="E685" s="124"/>
      <c r="F685" s="124"/>
      <c r="G685" s="124"/>
      <c r="H685" s="124"/>
      <c r="I685" s="132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</row>
    <row r="686" hidden="1">
      <c r="A686" s="132"/>
      <c r="B686" s="124"/>
      <c r="C686" s="124"/>
      <c r="D686" s="124"/>
      <c r="E686" s="124"/>
      <c r="F686" s="124"/>
      <c r="G686" s="124"/>
      <c r="H686" s="124"/>
      <c r="I686" s="132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</row>
    <row r="687" hidden="1">
      <c r="A687" s="132"/>
      <c r="B687" s="124"/>
      <c r="C687" s="124"/>
      <c r="D687" s="124"/>
      <c r="E687" s="124"/>
      <c r="F687" s="124"/>
      <c r="G687" s="124"/>
      <c r="H687" s="124"/>
      <c r="I687" s="132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</row>
    <row r="688" hidden="1">
      <c r="A688" s="132"/>
      <c r="B688" s="124"/>
      <c r="C688" s="124"/>
      <c r="D688" s="124"/>
      <c r="E688" s="124"/>
      <c r="F688" s="124"/>
      <c r="G688" s="124"/>
      <c r="H688" s="124"/>
      <c r="I688" s="132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</row>
    <row r="689" hidden="1">
      <c r="A689" s="132"/>
      <c r="B689" s="124"/>
      <c r="C689" s="124"/>
      <c r="D689" s="124"/>
      <c r="E689" s="124"/>
      <c r="F689" s="124"/>
      <c r="G689" s="124"/>
      <c r="H689" s="124"/>
      <c r="I689" s="132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</row>
    <row r="690" hidden="1">
      <c r="A690" s="132"/>
      <c r="B690" s="124"/>
      <c r="C690" s="124"/>
      <c r="D690" s="124"/>
      <c r="E690" s="124"/>
      <c r="F690" s="124"/>
      <c r="G690" s="124"/>
      <c r="H690" s="124"/>
      <c r="I690" s="132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</row>
    <row r="691" hidden="1">
      <c r="A691" s="132"/>
      <c r="B691" s="124"/>
      <c r="C691" s="124"/>
      <c r="D691" s="124"/>
      <c r="E691" s="124"/>
      <c r="F691" s="124"/>
      <c r="G691" s="124"/>
      <c r="H691" s="124"/>
      <c r="I691" s="132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</row>
    <row r="692" hidden="1">
      <c r="A692" s="132"/>
      <c r="B692" s="124"/>
      <c r="C692" s="124"/>
      <c r="D692" s="124"/>
      <c r="E692" s="124"/>
      <c r="F692" s="124"/>
      <c r="G692" s="124"/>
      <c r="H692" s="124"/>
      <c r="I692" s="132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</row>
    <row r="693" hidden="1">
      <c r="A693" s="132"/>
      <c r="B693" s="124"/>
      <c r="C693" s="124"/>
      <c r="D693" s="124"/>
      <c r="E693" s="124"/>
      <c r="F693" s="124"/>
      <c r="G693" s="124"/>
      <c r="H693" s="124"/>
      <c r="I693" s="132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</row>
    <row r="694" hidden="1">
      <c r="A694" s="132"/>
      <c r="B694" s="124"/>
      <c r="C694" s="124"/>
      <c r="D694" s="124"/>
      <c r="E694" s="124"/>
      <c r="F694" s="124"/>
      <c r="G694" s="124"/>
      <c r="H694" s="124"/>
      <c r="I694" s="132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</row>
    <row r="695" hidden="1">
      <c r="A695" s="132"/>
      <c r="B695" s="124"/>
      <c r="C695" s="124"/>
      <c r="D695" s="124"/>
      <c r="E695" s="124"/>
      <c r="F695" s="124"/>
      <c r="G695" s="124"/>
      <c r="H695" s="124"/>
      <c r="I695" s="132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</row>
    <row r="696" hidden="1">
      <c r="A696" s="132"/>
      <c r="B696" s="124"/>
      <c r="C696" s="124"/>
      <c r="D696" s="124"/>
      <c r="E696" s="124"/>
      <c r="F696" s="124"/>
      <c r="G696" s="124"/>
      <c r="H696" s="124"/>
      <c r="I696" s="132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</row>
    <row r="697" hidden="1">
      <c r="A697" s="132"/>
      <c r="B697" s="124"/>
      <c r="C697" s="124"/>
      <c r="D697" s="124"/>
      <c r="E697" s="124"/>
      <c r="F697" s="124"/>
      <c r="G697" s="124"/>
      <c r="H697" s="124"/>
      <c r="I697" s="132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</row>
    <row r="698" hidden="1">
      <c r="A698" s="132"/>
      <c r="B698" s="124"/>
      <c r="C698" s="124"/>
      <c r="D698" s="124"/>
      <c r="E698" s="124"/>
      <c r="F698" s="124"/>
      <c r="G698" s="124"/>
      <c r="H698" s="124"/>
      <c r="I698" s="132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</row>
    <row r="699" hidden="1">
      <c r="A699" s="132"/>
      <c r="B699" s="124"/>
      <c r="C699" s="124"/>
      <c r="D699" s="124"/>
      <c r="E699" s="124"/>
      <c r="F699" s="124"/>
      <c r="G699" s="124"/>
      <c r="H699" s="124"/>
      <c r="I699" s="132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</row>
    <row r="700" hidden="1">
      <c r="A700" s="132"/>
      <c r="B700" s="124"/>
      <c r="C700" s="124"/>
      <c r="D700" s="124"/>
      <c r="E700" s="124"/>
      <c r="F700" s="124"/>
      <c r="G700" s="124"/>
      <c r="H700" s="124"/>
      <c r="I700" s="132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</row>
    <row r="701" hidden="1">
      <c r="A701" s="132"/>
      <c r="B701" s="124"/>
      <c r="C701" s="124"/>
      <c r="D701" s="124"/>
      <c r="E701" s="124"/>
      <c r="F701" s="124"/>
      <c r="G701" s="124"/>
      <c r="H701" s="124"/>
      <c r="I701" s="132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</row>
    <row r="702" hidden="1">
      <c r="A702" s="132"/>
      <c r="B702" s="124"/>
      <c r="C702" s="124"/>
      <c r="D702" s="124"/>
      <c r="E702" s="124"/>
      <c r="F702" s="124"/>
      <c r="G702" s="124"/>
      <c r="H702" s="124"/>
      <c r="I702" s="132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</row>
    <row r="703" hidden="1">
      <c r="A703" s="132"/>
      <c r="B703" s="124"/>
      <c r="C703" s="124"/>
      <c r="D703" s="124"/>
      <c r="E703" s="124"/>
      <c r="F703" s="124"/>
      <c r="G703" s="124"/>
      <c r="H703" s="124"/>
      <c r="I703" s="132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</row>
    <row r="704" hidden="1">
      <c r="A704" s="132"/>
      <c r="B704" s="124"/>
      <c r="C704" s="124"/>
      <c r="D704" s="124"/>
      <c r="E704" s="124"/>
      <c r="F704" s="124"/>
      <c r="G704" s="124"/>
      <c r="H704" s="124"/>
      <c r="I704" s="132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</row>
    <row r="705" hidden="1">
      <c r="A705" s="132"/>
      <c r="B705" s="124"/>
      <c r="C705" s="124"/>
      <c r="D705" s="124"/>
      <c r="E705" s="124"/>
      <c r="F705" s="124"/>
      <c r="G705" s="124"/>
      <c r="H705" s="124"/>
      <c r="I705" s="132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</row>
    <row r="706" hidden="1">
      <c r="A706" s="132"/>
      <c r="B706" s="124"/>
      <c r="C706" s="124"/>
      <c r="D706" s="124"/>
      <c r="E706" s="124"/>
      <c r="F706" s="124"/>
      <c r="G706" s="124"/>
      <c r="H706" s="124"/>
      <c r="I706" s="132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</row>
    <row r="707" hidden="1">
      <c r="A707" s="132"/>
      <c r="B707" s="124"/>
      <c r="C707" s="124"/>
      <c r="D707" s="124"/>
      <c r="E707" s="124"/>
      <c r="F707" s="124"/>
      <c r="G707" s="124"/>
      <c r="H707" s="124"/>
      <c r="I707" s="132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</row>
    <row r="708" hidden="1">
      <c r="A708" s="132"/>
      <c r="B708" s="124"/>
      <c r="C708" s="124"/>
      <c r="D708" s="124"/>
      <c r="E708" s="124"/>
      <c r="F708" s="124"/>
      <c r="G708" s="124"/>
      <c r="H708" s="124"/>
      <c r="I708" s="132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</row>
    <row r="709" hidden="1">
      <c r="A709" s="132"/>
      <c r="B709" s="124"/>
      <c r="C709" s="124"/>
      <c r="D709" s="124"/>
      <c r="E709" s="124"/>
      <c r="F709" s="124"/>
      <c r="G709" s="124"/>
      <c r="H709" s="124"/>
      <c r="I709" s="132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</row>
    <row r="710" hidden="1">
      <c r="A710" s="132"/>
      <c r="B710" s="124"/>
      <c r="C710" s="124"/>
      <c r="D710" s="124"/>
      <c r="E710" s="124"/>
      <c r="F710" s="124"/>
      <c r="G710" s="124"/>
      <c r="H710" s="124"/>
      <c r="I710" s="132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</row>
    <row r="711" hidden="1">
      <c r="A711" s="132"/>
      <c r="B711" s="124"/>
      <c r="C711" s="124"/>
      <c r="D711" s="124"/>
      <c r="E711" s="124"/>
      <c r="F711" s="124"/>
      <c r="G711" s="124"/>
      <c r="H711" s="124"/>
      <c r="I711" s="132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</row>
    <row r="712" hidden="1">
      <c r="A712" s="132"/>
      <c r="B712" s="124"/>
      <c r="C712" s="124"/>
      <c r="D712" s="124"/>
      <c r="E712" s="124"/>
      <c r="F712" s="124"/>
      <c r="G712" s="124"/>
      <c r="H712" s="124"/>
      <c r="I712" s="132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</row>
    <row r="713" hidden="1">
      <c r="A713" s="132"/>
      <c r="B713" s="124"/>
      <c r="C713" s="124"/>
      <c r="D713" s="124"/>
      <c r="E713" s="124"/>
      <c r="F713" s="124"/>
      <c r="G713" s="124"/>
      <c r="H713" s="124"/>
      <c r="I713" s="132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</row>
    <row r="714" hidden="1">
      <c r="A714" s="132"/>
      <c r="B714" s="124"/>
      <c r="C714" s="124"/>
      <c r="D714" s="124"/>
      <c r="E714" s="124"/>
      <c r="F714" s="124"/>
      <c r="G714" s="124"/>
      <c r="H714" s="124"/>
      <c r="I714" s="132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</row>
    <row r="715" hidden="1">
      <c r="A715" s="132"/>
      <c r="B715" s="124"/>
      <c r="C715" s="124"/>
      <c r="D715" s="124"/>
      <c r="E715" s="124"/>
      <c r="F715" s="124"/>
      <c r="G715" s="124"/>
      <c r="H715" s="124"/>
      <c r="I715" s="132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</row>
    <row r="716" hidden="1">
      <c r="A716" s="132"/>
      <c r="B716" s="124"/>
      <c r="C716" s="124"/>
      <c r="D716" s="124"/>
      <c r="E716" s="124"/>
      <c r="F716" s="124"/>
      <c r="G716" s="124"/>
      <c r="H716" s="124"/>
      <c r="I716" s="132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</row>
    <row r="717" hidden="1">
      <c r="A717" s="132"/>
      <c r="B717" s="124"/>
      <c r="C717" s="124"/>
      <c r="D717" s="124"/>
      <c r="E717" s="124"/>
      <c r="F717" s="124"/>
      <c r="G717" s="124"/>
      <c r="H717" s="124"/>
      <c r="I717" s="132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</row>
    <row r="718" hidden="1">
      <c r="A718" s="132"/>
      <c r="B718" s="124"/>
      <c r="C718" s="124"/>
      <c r="D718" s="124"/>
      <c r="E718" s="124"/>
      <c r="F718" s="124"/>
      <c r="G718" s="124"/>
      <c r="H718" s="124"/>
      <c r="I718" s="132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</row>
    <row r="719" hidden="1">
      <c r="A719" s="132"/>
      <c r="B719" s="124"/>
      <c r="C719" s="124"/>
      <c r="D719" s="124"/>
      <c r="E719" s="124"/>
      <c r="F719" s="124"/>
      <c r="G719" s="124"/>
      <c r="H719" s="124"/>
      <c r="I719" s="132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</row>
    <row r="720" hidden="1">
      <c r="A720" s="132"/>
      <c r="B720" s="124"/>
      <c r="C720" s="124"/>
      <c r="D720" s="124"/>
      <c r="E720" s="124"/>
      <c r="F720" s="124"/>
      <c r="G720" s="124"/>
      <c r="H720" s="124"/>
      <c r="I720" s="132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</row>
    <row r="721" hidden="1">
      <c r="A721" s="132"/>
      <c r="B721" s="124"/>
      <c r="C721" s="124"/>
      <c r="D721" s="124"/>
      <c r="E721" s="124"/>
      <c r="F721" s="124"/>
      <c r="G721" s="124"/>
      <c r="H721" s="124"/>
      <c r="I721" s="132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</row>
    <row r="722" hidden="1">
      <c r="A722" s="132"/>
      <c r="B722" s="124"/>
      <c r="C722" s="124"/>
      <c r="D722" s="124"/>
      <c r="E722" s="124"/>
      <c r="F722" s="124"/>
      <c r="G722" s="124"/>
      <c r="H722" s="124"/>
      <c r="I722" s="132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</row>
    <row r="723" hidden="1">
      <c r="A723" s="132"/>
      <c r="B723" s="124"/>
      <c r="C723" s="124"/>
      <c r="D723" s="124"/>
      <c r="E723" s="124"/>
      <c r="F723" s="124"/>
      <c r="G723" s="124"/>
      <c r="H723" s="124"/>
      <c r="I723" s="132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</row>
    <row r="724" hidden="1">
      <c r="A724" s="132"/>
      <c r="B724" s="124"/>
      <c r="C724" s="124"/>
      <c r="D724" s="124"/>
      <c r="E724" s="124"/>
      <c r="F724" s="124"/>
      <c r="G724" s="124"/>
      <c r="H724" s="124"/>
      <c r="I724" s="132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</row>
    <row r="725" hidden="1">
      <c r="A725" s="132"/>
      <c r="B725" s="124"/>
      <c r="C725" s="124"/>
      <c r="D725" s="124"/>
      <c r="E725" s="124"/>
      <c r="F725" s="124"/>
      <c r="G725" s="124"/>
      <c r="H725" s="124"/>
      <c r="I725" s="132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</row>
    <row r="726" hidden="1">
      <c r="A726" s="132"/>
      <c r="B726" s="124"/>
      <c r="C726" s="124"/>
      <c r="D726" s="124"/>
      <c r="E726" s="124"/>
      <c r="F726" s="124"/>
      <c r="G726" s="124"/>
      <c r="H726" s="124"/>
      <c r="I726" s="132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</row>
    <row r="727" hidden="1">
      <c r="A727" s="132"/>
      <c r="B727" s="124"/>
      <c r="C727" s="124"/>
      <c r="D727" s="124"/>
      <c r="E727" s="124"/>
      <c r="F727" s="124"/>
      <c r="G727" s="124"/>
      <c r="H727" s="124"/>
      <c r="I727" s="132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</row>
    <row r="728" hidden="1">
      <c r="A728" s="132"/>
      <c r="B728" s="124"/>
      <c r="C728" s="124"/>
      <c r="D728" s="124"/>
      <c r="E728" s="124"/>
      <c r="F728" s="124"/>
      <c r="G728" s="124"/>
      <c r="H728" s="124"/>
      <c r="I728" s="132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</row>
    <row r="729" hidden="1">
      <c r="A729" s="132"/>
      <c r="B729" s="124"/>
      <c r="C729" s="124"/>
      <c r="D729" s="124"/>
      <c r="E729" s="124"/>
      <c r="F729" s="124"/>
      <c r="G729" s="124"/>
      <c r="H729" s="124"/>
      <c r="I729" s="132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</row>
    <row r="730" hidden="1">
      <c r="A730" s="132"/>
      <c r="B730" s="124"/>
      <c r="C730" s="124"/>
      <c r="D730" s="124"/>
      <c r="E730" s="124"/>
      <c r="F730" s="124"/>
      <c r="G730" s="124"/>
      <c r="H730" s="124"/>
      <c r="I730" s="132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</row>
    <row r="731" hidden="1">
      <c r="A731" s="132"/>
      <c r="B731" s="124"/>
      <c r="C731" s="124"/>
      <c r="D731" s="124"/>
      <c r="E731" s="124"/>
      <c r="F731" s="124"/>
      <c r="G731" s="124"/>
      <c r="H731" s="124"/>
      <c r="I731" s="132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</row>
    <row r="732" hidden="1">
      <c r="A732" s="132"/>
      <c r="B732" s="124"/>
      <c r="C732" s="124"/>
      <c r="D732" s="124"/>
      <c r="E732" s="124"/>
      <c r="F732" s="124"/>
      <c r="G732" s="124"/>
      <c r="H732" s="124"/>
      <c r="I732" s="132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</row>
    <row r="733" hidden="1">
      <c r="A733" s="132"/>
      <c r="B733" s="124"/>
      <c r="C733" s="124"/>
      <c r="D733" s="124"/>
      <c r="E733" s="124"/>
      <c r="F733" s="124"/>
      <c r="G733" s="124"/>
      <c r="H733" s="124"/>
      <c r="I733" s="132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</row>
    <row r="734" hidden="1">
      <c r="A734" s="132"/>
      <c r="B734" s="124"/>
      <c r="C734" s="124"/>
      <c r="D734" s="124"/>
      <c r="E734" s="124"/>
      <c r="F734" s="124"/>
      <c r="G734" s="124"/>
      <c r="H734" s="124"/>
      <c r="I734" s="132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</row>
    <row r="735" hidden="1">
      <c r="A735" s="132"/>
      <c r="B735" s="124"/>
      <c r="C735" s="124"/>
      <c r="D735" s="124"/>
      <c r="E735" s="124"/>
      <c r="F735" s="124"/>
      <c r="G735" s="124"/>
      <c r="H735" s="124"/>
      <c r="I735" s="132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</row>
    <row r="736" hidden="1">
      <c r="A736" s="132"/>
      <c r="B736" s="124"/>
      <c r="C736" s="124"/>
      <c r="D736" s="124"/>
      <c r="E736" s="124"/>
      <c r="F736" s="124"/>
      <c r="G736" s="124"/>
      <c r="H736" s="124"/>
      <c r="I736" s="132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</row>
    <row r="737" hidden="1">
      <c r="A737" s="132"/>
      <c r="B737" s="124"/>
      <c r="C737" s="124"/>
      <c r="D737" s="124"/>
      <c r="E737" s="124"/>
      <c r="F737" s="124"/>
      <c r="G737" s="124"/>
      <c r="H737" s="124"/>
      <c r="I737" s="132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</row>
    <row r="738" hidden="1">
      <c r="A738" s="132"/>
      <c r="B738" s="124"/>
      <c r="C738" s="124"/>
      <c r="D738" s="124"/>
      <c r="E738" s="124"/>
      <c r="F738" s="124"/>
      <c r="G738" s="124"/>
      <c r="H738" s="124"/>
      <c r="I738" s="132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</row>
    <row r="739" hidden="1">
      <c r="A739" s="132"/>
      <c r="B739" s="124"/>
      <c r="C739" s="124"/>
      <c r="D739" s="124"/>
      <c r="E739" s="124"/>
      <c r="F739" s="124"/>
      <c r="G739" s="124"/>
      <c r="H739" s="124"/>
      <c r="I739" s="132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</row>
    <row r="740" hidden="1">
      <c r="A740" s="132"/>
      <c r="B740" s="124"/>
      <c r="C740" s="124"/>
      <c r="D740" s="124"/>
      <c r="E740" s="124"/>
      <c r="F740" s="124"/>
      <c r="G740" s="124"/>
      <c r="H740" s="124"/>
      <c r="I740" s="132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</row>
    <row r="741" hidden="1">
      <c r="A741" s="132"/>
      <c r="B741" s="124"/>
      <c r="C741" s="124"/>
      <c r="D741" s="124"/>
      <c r="E741" s="124"/>
      <c r="F741" s="124"/>
      <c r="G741" s="124"/>
      <c r="H741" s="124"/>
      <c r="I741" s="132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</row>
    <row r="742" hidden="1">
      <c r="A742" s="132"/>
      <c r="B742" s="124"/>
      <c r="C742" s="124"/>
      <c r="D742" s="124"/>
      <c r="E742" s="124"/>
      <c r="F742" s="124"/>
      <c r="G742" s="124"/>
      <c r="H742" s="124"/>
      <c r="I742" s="132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</row>
    <row r="743" hidden="1">
      <c r="A743" s="132"/>
      <c r="B743" s="124"/>
      <c r="C743" s="124"/>
      <c r="D743" s="124"/>
      <c r="E743" s="124"/>
      <c r="F743" s="124"/>
      <c r="G743" s="124"/>
      <c r="H743" s="124"/>
      <c r="I743" s="132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</row>
    <row r="744" hidden="1">
      <c r="A744" s="132"/>
      <c r="B744" s="124"/>
      <c r="C744" s="124"/>
      <c r="D744" s="124"/>
      <c r="E744" s="124"/>
      <c r="F744" s="124"/>
      <c r="G744" s="124"/>
      <c r="H744" s="124"/>
      <c r="I744" s="132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</row>
    <row r="745" hidden="1">
      <c r="A745" s="132"/>
      <c r="B745" s="124"/>
      <c r="C745" s="124"/>
      <c r="D745" s="124"/>
      <c r="E745" s="124"/>
      <c r="F745" s="124"/>
      <c r="G745" s="124"/>
      <c r="H745" s="124"/>
      <c r="I745" s="132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</row>
    <row r="746" hidden="1">
      <c r="A746" s="132"/>
      <c r="B746" s="124"/>
      <c r="C746" s="124"/>
      <c r="D746" s="124"/>
      <c r="E746" s="124"/>
      <c r="F746" s="124"/>
      <c r="G746" s="124"/>
      <c r="H746" s="124"/>
      <c r="I746" s="132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</row>
    <row r="747" hidden="1">
      <c r="A747" s="132"/>
      <c r="B747" s="124"/>
      <c r="C747" s="124"/>
      <c r="D747" s="124"/>
      <c r="E747" s="124"/>
      <c r="F747" s="124"/>
      <c r="G747" s="124"/>
      <c r="H747" s="124"/>
      <c r="I747" s="132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</row>
    <row r="748" hidden="1">
      <c r="A748" s="132"/>
      <c r="B748" s="124"/>
      <c r="C748" s="124"/>
      <c r="D748" s="124"/>
      <c r="E748" s="124"/>
      <c r="F748" s="124"/>
      <c r="G748" s="124"/>
      <c r="H748" s="124"/>
      <c r="I748" s="132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</row>
    <row r="749" hidden="1">
      <c r="A749" s="132"/>
      <c r="B749" s="124"/>
      <c r="C749" s="124"/>
      <c r="D749" s="124"/>
      <c r="E749" s="124"/>
      <c r="F749" s="124"/>
      <c r="G749" s="124"/>
      <c r="H749" s="124"/>
      <c r="I749" s="132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</row>
    <row r="750" hidden="1">
      <c r="A750" s="132"/>
      <c r="B750" s="124"/>
      <c r="C750" s="124"/>
      <c r="D750" s="124"/>
      <c r="E750" s="124"/>
      <c r="F750" s="124"/>
      <c r="G750" s="124"/>
      <c r="H750" s="124"/>
      <c r="I750" s="132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</row>
    <row r="751" hidden="1">
      <c r="A751" s="132"/>
      <c r="B751" s="124"/>
      <c r="C751" s="124"/>
      <c r="D751" s="124"/>
      <c r="E751" s="124"/>
      <c r="F751" s="124"/>
      <c r="G751" s="124"/>
      <c r="H751" s="124"/>
      <c r="I751" s="132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</row>
    <row r="752" hidden="1">
      <c r="A752" s="132"/>
      <c r="B752" s="124"/>
      <c r="C752" s="124"/>
      <c r="D752" s="124"/>
      <c r="E752" s="124"/>
      <c r="F752" s="124"/>
      <c r="G752" s="124"/>
      <c r="H752" s="124"/>
      <c r="I752" s="132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</row>
    <row r="753" hidden="1">
      <c r="A753" s="132"/>
      <c r="B753" s="124"/>
      <c r="C753" s="124"/>
      <c r="D753" s="124"/>
      <c r="E753" s="124"/>
      <c r="F753" s="124"/>
      <c r="G753" s="124"/>
      <c r="H753" s="124"/>
      <c r="I753" s="132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</row>
    <row r="754" hidden="1">
      <c r="A754" s="132"/>
      <c r="B754" s="124"/>
      <c r="C754" s="124"/>
      <c r="D754" s="124"/>
      <c r="E754" s="124"/>
      <c r="F754" s="124"/>
      <c r="G754" s="124"/>
      <c r="H754" s="124"/>
      <c r="I754" s="132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</row>
    <row r="755" hidden="1">
      <c r="A755" s="132"/>
      <c r="B755" s="124"/>
      <c r="C755" s="124"/>
      <c r="D755" s="124"/>
      <c r="E755" s="124"/>
      <c r="F755" s="124"/>
      <c r="G755" s="124"/>
      <c r="H755" s="124"/>
      <c r="I755" s="132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</row>
    <row r="756" hidden="1">
      <c r="A756" s="132"/>
      <c r="B756" s="124"/>
      <c r="C756" s="124"/>
      <c r="D756" s="124"/>
      <c r="E756" s="124"/>
      <c r="F756" s="124"/>
      <c r="G756" s="124"/>
      <c r="H756" s="124"/>
      <c r="I756" s="132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</row>
    <row r="757" hidden="1">
      <c r="A757" s="132"/>
      <c r="B757" s="124"/>
      <c r="C757" s="124"/>
      <c r="D757" s="124"/>
      <c r="E757" s="124"/>
      <c r="F757" s="124"/>
      <c r="G757" s="124"/>
      <c r="H757" s="124"/>
      <c r="I757" s="132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</row>
    <row r="758" hidden="1">
      <c r="A758" s="132"/>
      <c r="B758" s="124"/>
      <c r="C758" s="124"/>
      <c r="D758" s="124"/>
      <c r="E758" s="124"/>
      <c r="F758" s="124"/>
      <c r="G758" s="124"/>
      <c r="H758" s="124"/>
      <c r="I758" s="132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</row>
    <row r="759" hidden="1">
      <c r="A759" s="132"/>
      <c r="B759" s="124"/>
      <c r="C759" s="124"/>
      <c r="D759" s="124"/>
      <c r="E759" s="124"/>
      <c r="F759" s="124"/>
      <c r="G759" s="124"/>
      <c r="H759" s="124"/>
      <c r="I759" s="132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</row>
    <row r="760" hidden="1">
      <c r="A760" s="132"/>
      <c r="B760" s="124"/>
      <c r="C760" s="124"/>
      <c r="D760" s="124"/>
      <c r="E760" s="124"/>
      <c r="F760" s="124"/>
      <c r="G760" s="124"/>
      <c r="H760" s="124"/>
      <c r="I760" s="132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</row>
    <row r="761" hidden="1">
      <c r="A761" s="132"/>
      <c r="B761" s="124"/>
      <c r="C761" s="124"/>
      <c r="D761" s="124"/>
      <c r="E761" s="124"/>
      <c r="F761" s="124"/>
      <c r="G761" s="124"/>
      <c r="H761" s="124"/>
      <c r="I761" s="132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</row>
    <row r="762" hidden="1">
      <c r="A762" s="132"/>
      <c r="B762" s="124"/>
      <c r="C762" s="124"/>
      <c r="D762" s="124"/>
      <c r="E762" s="124"/>
      <c r="F762" s="124"/>
      <c r="G762" s="124"/>
      <c r="H762" s="124"/>
      <c r="I762" s="132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</row>
    <row r="763" hidden="1">
      <c r="A763" s="132"/>
      <c r="B763" s="124"/>
      <c r="C763" s="124"/>
      <c r="D763" s="124"/>
      <c r="E763" s="124"/>
      <c r="F763" s="124"/>
      <c r="G763" s="124"/>
      <c r="H763" s="124"/>
      <c r="I763" s="132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</row>
    <row r="764" hidden="1">
      <c r="A764" s="132"/>
      <c r="B764" s="124"/>
      <c r="C764" s="124"/>
      <c r="D764" s="124"/>
      <c r="E764" s="124"/>
      <c r="F764" s="124"/>
      <c r="G764" s="124"/>
      <c r="H764" s="124"/>
      <c r="I764" s="132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</row>
    <row r="765" hidden="1">
      <c r="A765" s="132"/>
      <c r="B765" s="124"/>
      <c r="C765" s="124"/>
      <c r="D765" s="124"/>
      <c r="E765" s="124"/>
      <c r="F765" s="124"/>
      <c r="G765" s="124"/>
      <c r="H765" s="124"/>
      <c r="I765" s="132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</row>
    <row r="766" hidden="1">
      <c r="A766" s="132"/>
      <c r="B766" s="124"/>
      <c r="C766" s="124"/>
      <c r="D766" s="124"/>
      <c r="E766" s="124"/>
      <c r="F766" s="124"/>
      <c r="G766" s="124"/>
      <c r="H766" s="124"/>
      <c r="I766" s="132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</row>
    <row r="767" hidden="1">
      <c r="A767" s="132"/>
      <c r="B767" s="124"/>
      <c r="C767" s="124"/>
      <c r="D767" s="124"/>
      <c r="E767" s="124"/>
      <c r="F767" s="124"/>
      <c r="G767" s="124"/>
      <c r="H767" s="124"/>
      <c r="I767" s="132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</row>
    <row r="768" hidden="1">
      <c r="A768" s="132"/>
      <c r="B768" s="124"/>
      <c r="C768" s="124"/>
      <c r="D768" s="124"/>
      <c r="E768" s="124"/>
      <c r="F768" s="124"/>
      <c r="G768" s="124"/>
      <c r="H768" s="124"/>
      <c r="I768" s="132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</row>
    <row r="769" hidden="1">
      <c r="A769" s="132"/>
      <c r="B769" s="124"/>
      <c r="C769" s="124"/>
      <c r="D769" s="124"/>
      <c r="E769" s="124"/>
      <c r="F769" s="124"/>
      <c r="G769" s="124"/>
      <c r="H769" s="124"/>
      <c r="I769" s="132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</row>
    <row r="770" hidden="1">
      <c r="A770" s="132"/>
      <c r="B770" s="124"/>
      <c r="C770" s="124"/>
      <c r="D770" s="124"/>
      <c r="E770" s="124"/>
      <c r="F770" s="124"/>
      <c r="G770" s="124"/>
      <c r="H770" s="124"/>
      <c r="I770" s="132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</row>
    <row r="771" hidden="1">
      <c r="A771" s="132"/>
      <c r="B771" s="124"/>
      <c r="C771" s="124"/>
      <c r="D771" s="124"/>
      <c r="E771" s="124"/>
      <c r="F771" s="124"/>
      <c r="G771" s="124"/>
      <c r="H771" s="124"/>
      <c r="I771" s="132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</row>
    <row r="772" hidden="1">
      <c r="A772" s="132"/>
      <c r="B772" s="124"/>
      <c r="C772" s="124"/>
      <c r="D772" s="124"/>
      <c r="E772" s="124"/>
      <c r="F772" s="124"/>
      <c r="G772" s="124"/>
      <c r="H772" s="124"/>
      <c r="I772" s="132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</row>
    <row r="773" hidden="1">
      <c r="A773" s="132"/>
      <c r="B773" s="124"/>
      <c r="C773" s="124"/>
      <c r="D773" s="124"/>
      <c r="E773" s="124"/>
      <c r="F773" s="124"/>
      <c r="G773" s="124"/>
      <c r="H773" s="124"/>
      <c r="I773" s="132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</row>
    <row r="774" hidden="1">
      <c r="A774" s="132"/>
      <c r="B774" s="124"/>
      <c r="C774" s="124"/>
      <c r="D774" s="124"/>
      <c r="E774" s="124"/>
      <c r="F774" s="124"/>
      <c r="G774" s="124"/>
      <c r="H774" s="124"/>
      <c r="I774" s="132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</row>
    <row r="775" hidden="1">
      <c r="A775" s="132"/>
      <c r="B775" s="124"/>
      <c r="C775" s="124"/>
      <c r="D775" s="124"/>
      <c r="E775" s="124"/>
      <c r="F775" s="124"/>
      <c r="G775" s="124"/>
      <c r="H775" s="124"/>
      <c r="I775" s="132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</row>
    <row r="776" hidden="1">
      <c r="A776" s="132"/>
      <c r="B776" s="124"/>
      <c r="C776" s="124"/>
      <c r="D776" s="124"/>
      <c r="E776" s="124"/>
      <c r="F776" s="124"/>
      <c r="G776" s="124"/>
      <c r="H776" s="124"/>
      <c r="I776" s="132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</row>
    <row r="777" hidden="1">
      <c r="A777" s="132"/>
      <c r="B777" s="124"/>
      <c r="C777" s="124"/>
      <c r="D777" s="124"/>
      <c r="E777" s="124"/>
      <c r="F777" s="124"/>
      <c r="G777" s="124"/>
      <c r="H777" s="124"/>
      <c r="I777" s="132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</row>
    <row r="778" hidden="1">
      <c r="A778" s="132"/>
      <c r="B778" s="124"/>
      <c r="C778" s="124"/>
      <c r="D778" s="124"/>
      <c r="E778" s="124"/>
      <c r="F778" s="124"/>
      <c r="G778" s="124"/>
      <c r="H778" s="124"/>
      <c r="I778" s="132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</row>
    <row r="779" hidden="1">
      <c r="A779" s="132"/>
      <c r="B779" s="124"/>
      <c r="C779" s="124"/>
      <c r="D779" s="124"/>
      <c r="E779" s="124"/>
      <c r="F779" s="124"/>
      <c r="G779" s="124"/>
      <c r="H779" s="124"/>
      <c r="I779" s="132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</row>
    <row r="780" hidden="1">
      <c r="A780" s="132"/>
      <c r="B780" s="124"/>
      <c r="C780" s="124"/>
      <c r="D780" s="124"/>
      <c r="E780" s="124"/>
      <c r="F780" s="124"/>
      <c r="G780" s="124"/>
      <c r="H780" s="124"/>
      <c r="I780" s="132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</row>
    <row r="781" hidden="1">
      <c r="A781" s="132"/>
      <c r="B781" s="124"/>
      <c r="C781" s="124"/>
      <c r="D781" s="124"/>
      <c r="E781" s="124"/>
      <c r="F781" s="124"/>
      <c r="G781" s="124"/>
      <c r="H781" s="124"/>
      <c r="I781" s="132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</row>
    <row r="782" hidden="1">
      <c r="A782" s="132"/>
      <c r="B782" s="124"/>
      <c r="C782" s="124"/>
      <c r="D782" s="124"/>
      <c r="E782" s="124"/>
      <c r="F782" s="124"/>
      <c r="G782" s="124"/>
      <c r="H782" s="124"/>
      <c r="I782" s="132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</row>
    <row r="783" hidden="1">
      <c r="A783" s="132"/>
      <c r="B783" s="124"/>
      <c r="C783" s="124"/>
      <c r="D783" s="124"/>
      <c r="E783" s="124"/>
      <c r="F783" s="124"/>
      <c r="G783" s="124"/>
      <c r="H783" s="124"/>
      <c r="I783" s="132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</row>
    <row r="784" hidden="1">
      <c r="A784" s="132"/>
      <c r="B784" s="124"/>
      <c r="C784" s="124"/>
      <c r="D784" s="124"/>
      <c r="E784" s="124"/>
      <c r="F784" s="124"/>
      <c r="G784" s="124"/>
      <c r="H784" s="124"/>
      <c r="I784" s="132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</row>
    <row r="785" hidden="1">
      <c r="A785" s="132"/>
      <c r="B785" s="124"/>
      <c r="C785" s="124"/>
      <c r="D785" s="124"/>
      <c r="E785" s="124"/>
      <c r="F785" s="124"/>
      <c r="G785" s="124"/>
      <c r="H785" s="124"/>
      <c r="I785" s="132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</row>
    <row r="786" hidden="1">
      <c r="A786" s="132"/>
      <c r="B786" s="124"/>
      <c r="C786" s="124"/>
      <c r="D786" s="124"/>
      <c r="E786" s="124"/>
      <c r="F786" s="124"/>
      <c r="G786" s="124"/>
      <c r="H786" s="124"/>
      <c r="I786" s="132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</row>
    <row r="787" hidden="1">
      <c r="A787" s="132"/>
      <c r="B787" s="124"/>
      <c r="C787" s="124"/>
      <c r="D787" s="124"/>
      <c r="E787" s="124"/>
      <c r="F787" s="124"/>
      <c r="G787" s="124"/>
      <c r="H787" s="124"/>
      <c r="I787" s="132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</row>
    <row r="788" hidden="1">
      <c r="A788" s="132"/>
      <c r="B788" s="124"/>
      <c r="C788" s="124"/>
      <c r="D788" s="124"/>
      <c r="E788" s="124"/>
      <c r="F788" s="124"/>
      <c r="G788" s="124"/>
      <c r="H788" s="124"/>
      <c r="I788" s="132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</row>
    <row r="789" hidden="1">
      <c r="A789" s="132"/>
      <c r="B789" s="124"/>
      <c r="C789" s="124"/>
      <c r="D789" s="124"/>
      <c r="E789" s="124"/>
      <c r="F789" s="124"/>
      <c r="G789" s="124"/>
      <c r="H789" s="124"/>
      <c r="I789" s="132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</row>
    <row r="790" hidden="1">
      <c r="A790" s="132"/>
      <c r="B790" s="124"/>
      <c r="C790" s="124"/>
      <c r="D790" s="124"/>
      <c r="E790" s="124"/>
      <c r="F790" s="124"/>
      <c r="G790" s="124"/>
      <c r="H790" s="124"/>
      <c r="I790" s="132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</row>
    <row r="791" hidden="1">
      <c r="A791" s="132"/>
      <c r="B791" s="124"/>
      <c r="C791" s="124"/>
      <c r="D791" s="124"/>
      <c r="E791" s="124"/>
      <c r="F791" s="124"/>
      <c r="G791" s="124"/>
      <c r="H791" s="124"/>
      <c r="I791" s="132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</row>
    <row r="792" hidden="1">
      <c r="A792" s="132"/>
      <c r="B792" s="124"/>
      <c r="C792" s="124"/>
      <c r="D792" s="124"/>
      <c r="E792" s="124"/>
      <c r="F792" s="124"/>
      <c r="G792" s="124"/>
      <c r="H792" s="124"/>
      <c r="I792" s="132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</row>
    <row r="793" hidden="1">
      <c r="A793" s="132"/>
      <c r="B793" s="124"/>
      <c r="C793" s="124"/>
      <c r="D793" s="124"/>
      <c r="E793" s="124"/>
      <c r="F793" s="124"/>
      <c r="G793" s="124"/>
      <c r="H793" s="124"/>
      <c r="I793" s="132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</row>
    <row r="794" hidden="1">
      <c r="A794" s="132"/>
      <c r="B794" s="124"/>
      <c r="C794" s="124"/>
      <c r="D794" s="124"/>
      <c r="E794" s="124"/>
      <c r="F794" s="124"/>
      <c r="G794" s="124"/>
      <c r="H794" s="124"/>
      <c r="I794" s="132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</row>
    <row r="795" hidden="1">
      <c r="A795" s="132"/>
      <c r="B795" s="124"/>
      <c r="C795" s="124"/>
      <c r="D795" s="124"/>
      <c r="E795" s="124"/>
      <c r="F795" s="124"/>
      <c r="G795" s="124"/>
      <c r="H795" s="124"/>
      <c r="I795" s="132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</row>
    <row r="796" hidden="1">
      <c r="A796" s="132"/>
      <c r="B796" s="124"/>
      <c r="C796" s="124"/>
      <c r="D796" s="124"/>
      <c r="E796" s="124"/>
      <c r="F796" s="124"/>
      <c r="G796" s="124"/>
      <c r="H796" s="124"/>
      <c r="I796" s="132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</row>
    <row r="797" hidden="1">
      <c r="A797" s="132"/>
      <c r="B797" s="124"/>
      <c r="C797" s="124"/>
      <c r="D797" s="124"/>
      <c r="E797" s="124"/>
      <c r="F797" s="124"/>
      <c r="G797" s="124"/>
      <c r="H797" s="124"/>
      <c r="I797" s="132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</row>
    <row r="798" hidden="1">
      <c r="A798" s="132"/>
      <c r="B798" s="124"/>
      <c r="C798" s="124"/>
      <c r="D798" s="124"/>
      <c r="E798" s="124"/>
      <c r="F798" s="124"/>
      <c r="G798" s="124"/>
      <c r="H798" s="124"/>
      <c r="I798" s="132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</row>
    <row r="799" hidden="1">
      <c r="A799" s="132"/>
      <c r="B799" s="124"/>
      <c r="C799" s="124"/>
      <c r="D799" s="124"/>
      <c r="E799" s="124"/>
      <c r="F799" s="124"/>
      <c r="G799" s="124"/>
      <c r="H799" s="124"/>
      <c r="I799" s="132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</row>
    <row r="800" hidden="1">
      <c r="A800" s="132"/>
      <c r="B800" s="124"/>
      <c r="C800" s="124"/>
      <c r="D800" s="124"/>
      <c r="E800" s="124"/>
      <c r="F800" s="124"/>
      <c r="G800" s="124"/>
      <c r="H800" s="124"/>
      <c r="I800" s="132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</row>
    <row r="801" hidden="1">
      <c r="A801" s="132"/>
      <c r="B801" s="124"/>
      <c r="C801" s="124"/>
      <c r="D801" s="124"/>
      <c r="E801" s="124"/>
      <c r="F801" s="124"/>
      <c r="G801" s="124"/>
      <c r="H801" s="124"/>
      <c r="I801" s="132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</row>
    <row r="802" hidden="1">
      <c r="A802" s="132"/>
      <c r="B802" s="124"/>
      <c r="C802" s="124"/>
      <c r="D802" s="124"/>
      <c r="E802" s="124"/>
      <c r="F802" s="124"/>
      <c r="G802" s="124"/>
      <c r="H802" s="124"/>
      <c r="I802" s="132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</row>
    <row r="803" hidden="1">
      <c r="A803" s="132"/>
      <c r="B803" s="124"/>
      <c r="C803" s="124"/>
      <c r="D803" s="124"/>
      <c r="E803" s="124"/>
      <c r="F803" s="124"/>
      <c r="G803" s="124"/>
      <c r="H803" s="124"/>
      <c r="I803" s="132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</row>
    <row r="804" hidden="1">
      <c r="A804" s="132"/>
      <c r="B804" s="124"/>
      <c r="C804" s="124"/>
      <c r="D804" s="124"/>
      <c r="E804" s="124"/>
      <c r="F804" s="124"/>
      <c r="G804" s="124"/>
      <c r="H804" s="124"/>
      <c r="I804" s="132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</row>
    <row r="805" hidden="1">
      <c r="A805" s="132"/>
      <c r="B805" s="124"/>
      <c r="C805" s="124"/>
      <c r="D805" s="124"/>
      <c r="E805" s="124"/>
      <c r="F805" s="124"/>
      <c r="G805" s="124"/>
      <c r="H805" s="124"/>
      <c r="I805" s="132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</row>
    <row r="806" hidden="1">
      <c r="A806" s="132"/>
      <c r="B806" s="124"/>
      <c r="C806" s="124"/>
      <c r="D806" s="124"/>
      <c r="E806" s="124"/>
      <c r="F806" s="124"/>
      <c r="G806" s="124"/>
      <c r="H806" s="124"/>
      <c r="I806" s="132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</row>
    <row r="807" hidden="1">
      <c r="A807" s="132"/>
      <c r="B807" s="124"/>
      <c r="C807" s="124"/>
      <c r="D807" s="124"/>
      <c r="E807" s="124"/>
      <c r="F807" s="124"/>
      <c r="G807" s="124"/>
      <c r="H807" s="124"/>
      <c r="I807" s="132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</row>
    <row r="808" hidden="1">
      <c r="A808" s="132"/>
      <c r="B808" s="124"/>
      <c r="C808" s="124"/>
      <c r="D808" s="124"/>
      <c r="E808" s="124"/>
      <c r="F808" s="124"/>
      <c r="G808" s="124"/>
      <c r="H808" s="124"/>
      <c r="I808" s="132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</row>
    <row r="809" hidden="1">
      <c r="A809" s="132"/>
      <c r="B809" s="124"/>
      <c r="C809" s="124"/>
      <c r="D809" s="124"/>
      <c r="E809" s="124"/>
      <c r="F809" s="124"/>
      <c r="G809" s="124"/>
      <c r="H809" s="124"/>
      <c r="I809" s="132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</row>
    <row r="810" hidden="1">
      <c r="A810" s="132"/>
      <c r="B810" s="124"/>
      <c r="C810" s="124"/>
      <c r="D810" s="124"/>
      <c r="E810" s="124"/>
      <c r="F810" s="124"/>
      <c r="G810" s="124"/>
      <c r="H810" s="124"/>
      <c r="I810" s="132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</row>
    <row r="811" hidden="1">
      <c r="A811" s="132"/>
      <c r="B811" s="124"/>
      <c r="C811" s="124"/>
      <c r="D811" s="124"/>
      <c r="E811" s="124"/>
      <c r="F811" s="124"/>
      <c r="G811" s="124"/>
      <c r="H811" s="124"/>
      <c r="I811" s="132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</row>
    <row r="812" hidden="1">
      <c r="A812" s="132"/>
      <c r="B812" s="124"/>
      <c r="C812" s="124"/>
      <c r="D812" s="124"/>
      <c r="E812" s="124"/>
      <c r="F812" s="124"/>
      <c r="G812" s="124"/>
      <c r="H812" s="124"/>
      <c r="I812" s="132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</row>
    <row r="813" hidden="1">
      <c r="A813" s="132"/>
      <c r="B813" s="124"/>
      <c r="C813" s="124"/>
      <c r="D813" s="124"/>
      <c r="E813" s="124"/>
      <c r="F813" s="124"/>
      <c r="G813" s="124"/>
      <c r="H813" s="124"/>
      <c r="I813" s="132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</row>
    <row r="814" hidden="1">
      <c r="A814" s="132"/>
      <c r="B814" s="124"/>
      <c r="C814" s="124"/>
      <c r="D814" s="124"/>
      <c r="E814" s="124"/>
      <c r="F814" s="124"/>
      <c r="G814" s="124"/>
      <c r="H814" s="124"/>
      <c r="I814" s="132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</row>
    <row r="815" hidden="1">
      <c r="A815" s="132"/>
      <c r="B815" s="124"/>
      <c r="C815" s="124"/>
      <c r="D815" s="124"/>
      <c r="E815" s="124"/>
      <c r="F815" s="124"/>
      <c r="G815" s="124"/>
      <c r="H815" s="124"/>
      <c r="I815" s="132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</row>
    <row r="816" hidden="1">
      <c r="A816" s="132"/>
      <c r="B816" s="124"/>
      <c r="C816" s="124"/>
      <c r="D816" s="124"/>
      <c r="E816" s="124"/>
      <c r="F816" s="124"/>
      <c r="G816" s="124"/>
      <c r="H816" s="124"/>
      <c r="I816" s="132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</row>
    <row r="817" hidden="1">
      <c r="A817" s="132"/>
      <c r="B817" s="124"/>
      <c r="C817" s="124"/>
      <c r="D817" s="124"/>
      <c r="E817" s="124"/>
      <c r="F817" s="124"/>
      <c r="G817" s="124"/>
      <c r="H817" s="124"/>
      <c r="I817" s="132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</row>
    <row r="818" hidden="1">
      <c r="A818" s="132"/>
      <c r="B818" s="124"/>
      <c r="C818" s="124"/>
      <c r="D818" s="124"/>
      <c r="E818" s="124"/>
      <c r="F818" s="124"/>
      <c r="G818" s="124"/>
      <c r="H818" s="124"/>
      <c r="I818" s="132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</row>
    <row r="819" hidden="1">
      <c r="A819" s="132"/>
      <c r="B819" s="124"/>
      <c r="C819" s="124"/>
      <c r="D819" s="124"/>
      <c r="E819" s="124"/>
      <c r="F819" s="124"/>
      <c r="G819" s="124"/>
      <c r="H819" s="124"/>
      <c r="I819" s="132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</row>
    <row r="820" hidden="1">
      <c r="A820" s="132"/>
      <c r="B820" s="124"/>
      <c r="C820" s="124"/>
      <c r="D820" s="124"/>
      <c r="E820" s="124"/>
      <c r="F820" s="124"/>
      <c r="G820" s="124"/>
      <c r="H820" s="124"/>
      <c r="I820" s="132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</row>
    <row r="821" hidden="1">
      <c r="A821" s="132"/>
      <c r="B821" s="124"/>
      <c r="C821" s="124"/>
      <c r="D821" s="124"/>
      <c r="E821" s="124"/>
      <c r="F821" s="124"/>
      <c r="G821" s="124"/>
      <c r="H821" s="124"/>
      <c r="I821" s="132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</row>
    <row r="822" hidden="1">
      <c r="A822" s="132"/>
      <c r="B822" s="124"/>
      <c r="C822" s="124"/>
      <c r="D822" s="124"/>
      <c r="E822" s="124"/>
      <c r="F822" s="124"/>
      <c r="G822" s="124"/>
      <c r="H822" s="124"/>
      <c r="I822" s="132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</row>
    <row r="823" hidden="1">
      <c r="A823" s="132"/>
      <c r="B823" s="124"/>
      <c r="C823" s="124"/>
      <c r="D823" s="124"/>
      <c r="E823" s="124"/>
      <c r="F823" s="124"/>
      <c r="G823" s="124"/>
      <c r="H823" s="124"/>
      <c r="I823" s="132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</row>
    <row r="824" hidden="1">
      <c r="A824" s="132"/>
      <c r="B824" s="124"/>
      <c r="C824" s="124"/>
      <c r="D824" s="124"/>
      <c r="E824" s="124"/>
      <c r="F824" s="124"/>
      <c r="G824" s="124"/>
      <c r="H824" s="124"/>
      <c r="I824" s="132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</row>
    <row r="825" hidden="1">
      <c r="A825" s="132"/>
      <c r="B825" s="124"/>
      <c r="C825" s="124"/>
      <c r="D825" s="124"/>
      <c r="E825" s="124"/>
      <c r="F825" s="124"/>
      <c r="G825" s="124"/>
      <c r="H825" s="124"/>
      <c r="I825" s="132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</row>
    <row r="826" hidden="1">
      <c r="A826" s="132"/>
      <c r="B826" s="124"/>
      <c r="C826" s="124"/>
      <c r="D826" s="124"/>
      <c r="E826" s="124"/>
      <c r="F826" s="124"/>
      <c r="G826" s="124"/>
      <c r="H826" s="124"/>
      <c r="I826" s="132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</row>
    <row r="827" hidden="1">
      <c r="A827" s="132"/>
      <c r="B827" s="124"/>
      <c r="C827" s="124"/>
      <c r="D827" s="124"/>
      <c r="E827" s="124"/>
      <c r="F827" s="124"/>
      <c r="G827" s="124"/>
      <c r="H827" s="124"/>
      <c r="I827" s="132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</row>
    <row r="828" hidden="1">
      <c r="A828" s="132"/>
      <c r="B828" s="124"/>
      <c r="C828" s="124"/>
      <c r="D828" s="124"/>
      <c r="E828" s="124"/>
      <c r="F828" s="124"/>
      <c r="G828" s="124"/>
      <c r="H828" s="124"/>
      <c r="I828" s="132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</row>
    <row r="829" hidden="1">
      <c r="A829" s="132"/>
      <c r="B829" s="124"/>
      <c r="C829" s="124"/>
      <c r="D829" s="124"/>
      <c r="E829" s="124"/>
      <c r="F829" s="124"/>
      <c r="G829" s="124"/>
      <c r="H829" s="124"/>
      <c r="I829" s="132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</row>
    <row r="830" hidden="1">
      <c r="A830" s="132"/>
      <c r="B830" s="124"/>
      <c r="C830" s="124"/>
      <c r="D830" s="124"/>
      <c r="E830" s="124"/>
      <c r="F830" s="124"/>
      <c r="G830" s="124"/>
      <c r="H830" s="124"/>
      <c r="I830" s="132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</row>
    <row r="831" hidden="1">
      <c r="A831" s="132"/>
      <c r="B831" s="124"/>
      <c r="C831" s="124"/>
      <c r="D831" s="124"/>
      <c r="E831" s="124"/>
      <c r="F831" s="124"/>
      <c r="G831" s="124"/>
      <c r="H831" s="124"/>
      <c r="I831" s="132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</row>
    <row r="832" hidden="1">
      <c r="A832" s="132"/>
      <c r="B832" s="124"/>
      <c r="C832" s="124"/>
      <c r="D832" s="124"/>
      <c r="E832" s="124"/>
      <c r="F832" s="124"/>
      <c r="G832" s="124"/>
      <c r="H832" s="124"/>
      <c r="I832" s="132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</row>
    <row r="833" hidden="1">
      <c r="A833" s="132"/>
      <c r="B833" s="124"/>
      <c r="C833" s="124"/>
      <c r="D833" s="124"/>
      <c r="E833" s="124"/>
      <c r="F833" s="124"/>
      <c r="G833" s="124"/>
      <c r="H833" s="124"/>
      <c r="I833" s="132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</row>
    <row r="834" hidden="1">
      <c r="A834" s="132"/>
      <c r="B834" s="124"/>
      <c r="C834" s="124"/>
      <c r="D834" s="124"/>
      <c r="E834" s="124"/>
      <c r="F834" s="124"/>
      <c r="G834" s="124"/>
      <c r="H834" s="124"/>
      <c r="I834" s="132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</row>
    <row r="835" hidden="1">
      <c r="A835" s="132"/>
      <c r="B835" s="124"/>
      <c r="C835" s="124"/>
      <c r="D835" s="124"/>
      <c r="E835" s="124"/>
      <c r="F835" s="124"/>
      <c r="G835" s="124"/>
      <c r="H835" s="124"/>
      <c r="I835" s="132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</row>
    <row r="836" hidden="1">
      <c r="A836" s="132"/>
      <c r="B836" s="124"/>
      <c r="C836" s="124"/>
      <c r="D836" s="124"/>
      <c r="E836" s="124"/>
      <c r="F836" s="124"/>
      <c r="G836" s="124"/>
      <c r="H836" s="124"/>
      <c r="I836" s="132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</row>
    <row r="837" hidden="1">
      <c r="A837" s="132"/>
      <c r="B837" s="124"/>
      <c r="C837" s="124"/>
      <c r="D837" s="124"/>
      <c r="E837" s="124"/>
      <c r="F837" s="124"/>
      <c r="G837" s="124"/>
      <c r="H837" s="124"/>
      <c r="I837" s="132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</row>
    <row r="838" hidden="1">
      <c r="A838" s="132"/>
      <c r="B838" s="124"/>
      <c r="C838" s="124"/>
      <c r="D838" s="124"/>
      <c r="E838" s="124"/>
      <c r="F838" s="124"/>
      <c r="G838" s="124"/>
      <c r="H838" s="124"/>
      <c r="I838" s="132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</row>
    <row r="839" hidden="1">
      <c r="A839" s="132"/>
      <c r="B839" s="124"/>
      <c r="C839" s="124"/>
      <c r="D839" s="124"/>
      <c r="E839" s="124"/>
      <c r="F839" s="124"/>
      <c r="G839" s="124"/>
      <c r="H839" s="124"/>
      <c r="I839" s="132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</row>
    <row r="840" hidden="1">
      <c r="A840" s="132"/>
      <c r="B840" s="124"/>
      <c r="C840" s="124"/>
      <c r="D840" s="124"/>
      <c r="E840" s="124"/>
      <c r="F840" s="124"/>
      <c r="G840" s="124"/>
      <c r="H840" s="124"/>
      <c r="I840" s="132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</row>
    <row r="841" hidden="1">
      <c r="A841" s="132"/>
      <c r="B841" s="124"/>
      <c r="C841" s="124"/>
      <c r="D841" s="124"/>
      <c r="E841" s="124"/>
      <c r="F841" s="124"/>
      <c r="G841" s="124"/>
      <c r="H841" s="124"/>
      <c r="I841" s="132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</row>
    <row r="842" hidden="1">
      <c r="A842" s="132"/>
      <c r="B842" s="124"/>
      <c r="C842" s="124"/>
      <c r="D842" s="124"/>
      <c r="E842" s="124"/>
      <c r="F842" s="124"/>
      <c r="G842" s="124"/>
      <c r="H842" s="124"/>
      <c r="I842" s="132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</row>
    <row r="843" hidden="1">
      <c r="A843" s="132"/>
      <c r="B843" s="124"/>
      <c r="C843" s="124"/>
      <c r="D843" s="124"/>
      <c r="E843" s="124"/>
      <c r="F843" s="124"/>
      <c r="G843" s="124"/>
      <c r="H843" s="124"/>
      <c r="I843" s="132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</row>
    <row r="844" hidden="1">
      <c r="A844" s="132"/>
      <c r="B844" s="124"/>
      <c r="C844" s="124"/>
      <c r="D844" s="124"/>
      <c r="E844" s="124"/>
      <c r="F844" s="124"/>
      <c r="G844" s="124"/>
      <c r="H844" s="124"/>
      <c r="I844" s="132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</row>
    <row r="845" hidden="1">
      <c r="A845" s="132"/>
      <c r="B845" s="124"/>
      <c r="C845" s="124"/>
      <c r="D845" s="124"/>
      <c r="E845" s="124"/>
      <c r="F845" s="124"/>
      <c r="G845" s="124"/>
      <c r="H845" s="124"/>
      <c r="I845" s="132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</row>
    <row r="846" hidden="1">
      <c r="A846" s="132"/>
      <c r="B846" s="124"/>
      <c r="C846" s="124"/>
      <c r="D846" s="124"/>
      <c r="E846" s="124"/>
      <c r="F846" s="124"/>
      <c r="G846" s="124"/>
      <c r="H846" s="124"/>
      <c r="I846" s="132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</row>
    <row r="847" hidden="1">
      <c r="A847" s="132"/>
      <c r="B847" s="124"/>
      <c r="C847" s="124"/>
      <c r="D847" s="124"/>
      <c r="E847" s="124"/>
      <c r="F847" s="124"/>
      <c r="G847" s="124"/>
      <c r="H847" s="124"/>
      <c r="I847" s="132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</row>
    <row r="848" hidden="1">
      <c r="A848" s="132"/>
      <c r="B848" s="124"/>
      <c r="C848" s="124"/>
      <c r="D848" s="124"/>
      <c r="E848" s="124"/>
      <c r="F848" s="124"/>
      <c r="G848" s="124"/>
      <c r="H848" s="124"/>
      <c r="I848" s="132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</row>
    <row r="849" hidden="1">
      <c r="A849" s="132"/>
      <c r="B849" s="124"/>
      <c r="C849" s="124"/>
      <c r="D849" s="124"/>
      <c r="E849" s="124"/>
      <c r="F849" s="124"/>
      <c r="G849" s="124"/>
      <c r="H849" s="124"/>
      <c r="I849" s="132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</row>
    <row r="850" hidden="1">
      <c r="A850" s="132"/>
      <c r="B850" s="124"/>
      <c r="C850" s="124"/>
      <c r="D850" s="124"/>
      <c r="E850" s="124"/>
      <c r="F850" s="124"/>
      <c r="G850" s="124"/>
      <c r="H850" s="124"/>
      <c r="I850" s="132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</row>
    <row r="851" hidden="1">
      <c r="A851" s="132"/>
      <c r="B851" s="124"/>
      <c r="C851" s="124"/>
      <c r="D851" s="124"/>
      <c r="E851" s="124"/>
      <c r="F851" s="124"/>
      <c r="G851" s="124"/>
      <c r="H851" s="124"/>
      <c r="I851" s="132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</row>
    <row r="852" hidden="1">
      <c r="A852" s="132"/>
      <c r="B852" s="124"/>
      <c r="C852" s="124"/>
      <c r="D852" s="124"/>
      <c r="E852" s="124"/>
      <c r="F852" s="124"/>
      <c r="G852" s="124"/>
      <c r="H852" s="124"/>
      <c r="I852" s="132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</row>
    <row r="853" hidden="1">
      <c r="A853" s="132"/>
      <c r="B853" s="124"/>
      <c r="C853" s="124"/>
      <c r="D853" s="124"/>
      <c r="E853" s="124"/>
      <c r="F853" s="124"/>
      <c r="G853" s="124"/>
      <c r="H853" s="124"/>
      <c r="I853" s="132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</row>
    <row r="854" hidden="1">
      <c r="A854" s="132"/>
      <c r="B854" s="124"/>
      <c r="C854" s="124"/>
      <c r="D854" s="124"/>
      <c r="E854" s="124"/>
      <c r="F854" s="124"/>
      <c r="G854" s="124"/>
      <c r="H854" s="124"/>
      <c r="I854" s="132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</row>
    <row r="855" hidden="1">
      <c r="A855" s="132"/>
      <c r="B855" s="124"/>
      <c r="C855" s="124"/>
      <c r="D855" s="124"/>
      <c r="E855" s="124"/>
      <c r="F855" s="124"/>
      <c r="G855" s="124"/>
      <c r="H855" s="124"/>
      <c r="I855" s="132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</row>
    <row r="856" hidden="1">
      <c r="A856" s="132"/>
      <c r="B856" s="124"/>
      <c r="C856" s="124"/>
      <c r="D856" s="124"/>
      <c r="E856" s="124"/>
      <c r="F856" s="124"/>
      <c r="G856" s="124"/>
      <c r="H856" s="124"/>
      <c r="I856" s="132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</row>
    <row r="857" hidden="1">
      <c r="A857" s="132"/>
      <c r="B857" s="124"/>
      <c r="C857" s="124"/>
      <c r="D857" s="124"/>
      <c r="E857" s="124"/>
      <c r="F857" s="124"/>
      <c r="G857" s="124"/>
      <c r="H857" s="124"/>
      <c r="I857" s="132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</row>
    <row r="858" hidden="1">
      <c r="A858" s="132"/>
      <c r="B858" s="124"/>
      <c r="C858" s="124"/>
      <c r="D858" s="124"/>
      <c r="E858" s="124"/>
      <c r="F858" s="124"/>
      <c r="G858" s="124"/>
      <c r="H858" s="124"/>
      <c r="I858" s="132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</row>
    <row r="859" hidden="1">
      <c r="A859" s="132"/>
      <c r="B859" s="124"/>
      <c r="C859" s="124"/>
      <c r="D859" s="124"/>
      <c r="E859" s="124"/>
      <c r="F859" s="124"/>
      <c r="G859" s="124"/>
      <c r="H859" s="124"/>
      <c r="I859" s="132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</row>
    <row r="860" hidden="1">
      <c r="A860" s="132"/>
      <c r="B860" s="124"/>
      <c r="C860" s="124"/>
      <c r="D860" s="124"/>
      <c r="E860" s="124"/>
      <c r="F860" s="124"/>
      <c r="G860" s="124"/>
      <c r="H860" s="124"/>
      <c r="I860" s="132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</row>
    <row r="861" hidden="1">
      <c r="A861" s="132"/>
      <c r="B861" s="124"/>
      <c r="C861" s="124"/>
      <c r="D861" s="124"/>
      <c r="E861" s="124"/>
      <c r="F861" s="124"/>
      <c r="G861" s="124"/>
      <c r="H861" s="124"/>
      <c r="I861" s="132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</row>
    <row r="862" hidden="1">
      <c r="A862" s="132"/>
      <c r="B862" s="124"/>
      <c r="C862" s="124"/>
      <c r="D862" s="124"/>
      <c r="E862" s="124"/>
      <c r="F862" s="124"/>
      <c r="G862" s="124"/>
      <c r="H862" s="124"/>
      <c r="I862" s="132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</row>
    <row r="863" hidden="1">
      <c r="A863" s="132"/>
      <c r="B863" s="124"/>
      <c r="C863" s="124"/>
      <c r="D863" s="124"/>
      <c r="E863" s="124"/>
      <c r="F863" s="124"/>
      <c r="G863" s="124"/>
      <c r="H863" s="124"/>
      <c r="I863" s="132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</row>
    <row r="864" hidden="1">
      <c r="A864" s="132"/>
      <c r="B864" s="124"/>
      <c r="C864" s="124"/>
      <c r="D864" s="124"/>
      <c r="E864" s="124"/>
      <c r="F864" s="124"/>
      <c r="G864" s="124"/>
      <c r="H864" s="124"/>
      <c r="I864" s="132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</row>
    <row r="865" hidden="1">
      <c r="A865" s="132"/>
      <c r="B865" s="124"/>
      <c r="C865" s="124"/>
      <c r="D865" s="124"/>
      <c r="E865" s="124"/>
      <c r="F865" s="124"/>
      <c r="G865" s="124"/>
      <c r="H865" s="124"/>
      <c r="I865" s="132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</row>
    <row r="866" hidden="1">
      <c r="A866" s="132"/>
      <c r="B866" s="124"/>
      <c r="C866" s="124"/>
      <c r="D866" s="124"/>
      <c r="E866" s="124"/>
      <c r="F866" s="124"/>
      <c r="G866" s="124"/>
      <c r="H866" s="124"/>
      <c r="I866" s="132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</row>
    <row r="867" hidden="1">
      <c r="A867" s="132"/>
      <c r="B867" s="124"/>
      <c r="C867" s="124"/>
      <c r="D867" s="124"/>
      <c r="E867" s="124"/>
      <c r="F867" s="124"/>
      <c r="G867" s="124"/>
      <c r="H867" s="124"/>
      <c r="I867" s="132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</row>
    <row r="868" hidden="1">
      <c r="A868" s="132"/>
      <c r="B868" s="124"/>
      <c r="C868" s="124"/>
      <c r="D868" s="124"/>
      <c r="E868" s="124"/>
      <c r="F868" s="124"/>
      <c r="G868" s="124"/>
      <c r="H868" s="124"/>
      <c r="I868" s="132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</row>
    <row r="869" hidden="1">
      <c r="A869" s="132"/>
      <c r="B869" s="124"/>
      <c r="C869" s="124"/>
      <c r="D869" s="124"/>
      <c r="E869" s="124"/>
      <c r="F869" s="124"/>
      <c r="G869" s="124"/>
      <c r="H869" s="124"/>
      <c r="I869" s="132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</row>
    <row r="870" hidden="1">
      <c r="A870" s="132"/>
      <c r="B870" s="124"/>
      <c r="C870" s="124"/>
      <c r="D870" s="124"/>
      <c r="E870" s="124"/>
      <c r="F870" s="124"/>
      <c r="G870" s="124"/>
      <c r="H870" s="124"/>
      <c r="I870" s="132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</row>
    <row r="871" hidden="1">
      <c r="A871" s="132"/>
      <c r="B871" s="124"/>
      <c r="C871" s="124"/>
      <c r="D871" s="124"/>
      <c r="E871" s="124"/>
      <c r="F871" s="124"/>
      <c r="G871" s="124"/>
      <c r="H871" s="124"/>
      <c r="I871" s="132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</row>
    <row r="872" hidden="1">
      <c r="A872" s="132"/>
      <c r="B872" s="124"/>
      <c r="C872" s="124"/>
      <c r="D872" s="124"/>
      <c r="E872" s="124"/>
      <c r="F872" s="124"/>
      <c r="G872" s="124"/>
      <c r="H872" s="124"/>
      <c r="I872" s="132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</row>
    <row r="873" hidden="1">
      <c r="A873" s="132"/>
      <c r="B873" s="124"/>
      <c r="C873" s="124"/>
      <c r="D873" s="124"/>
      <c r="E873" s="124"/>
      <c r="F873" s="124"/>
      <c r="G873" s="124"/>
      <c r="H873" s="124"/>
      <c r="I873" s="132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</row>
    <row r="874" hidden="1">
      <c r="A874" s="132"/>
      <c r="B874" s="124"/>
      <c r="C874" s="124"/>
      <c r="D874" s="124"/>
      <c r="E874" s="124"/>
      <c r="F874" s="124"/>
      <c r="G874" s="124"/>
      <c r="H874" s="124"/>
      <c r="I874" s="132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</row>
    <row r="875" hidden="1">
      <c r="A875" s="132"/>
      <c r="B875" s="124"/>
      <c r="C875" s="124"/>
      <c r="D875" s="124"/>
      <c r="E875" s="124"/>
      <c r="F875" s="124"/>
      <c r="G875" s="124"/>
      <c r="H875" s="124"/>
      <c r="I875" s="132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</row>
    <row r="876" hidden="1">
      <c r="A876" s="132"/>
      <c r="B876" s="124"/>
      <c r="C876" s="124"/>
      <c r="D876" s="124"/>
      <c r="E876" s="124"/>
      <c r="F876" s="124"/>
      <c r="G876" s="124"/>
      <c r="H876" s="124"/>
      <c r="I876" s="132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</row>
    <row r="877" hidden="1">
      <c r="A877" s="132"/>
      <c r="B877" s="124"/>
      <c r="C877" s="124"/>
      <c r="D877" s="124"/>
      <c r="E877" s="124"/>
      <c r="F877" s="124"/>
      <c r="G877" s="124"/>
      <c r="H877" s="124"/>
      <c r="I877" s="132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</row>
    <row r="878" hidden="1">
      <c r="A878" s="132"/>
      <c r="B878" s="124"/>
      <c r="C878" s="124"/>
      <c r="D878" s="124"/>
      <c r="E878" s="124"/>
      <c r="F878" s="124"/>
      <c r="G878" s="124"/>
      <c r="H878" s="124"/>
      <c r="I878" s="132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</row>
    <row r="879" hidden="1">
      <c r="A879" s="132"/>
      <c r="B879" s="124"/>
      <c r="C879" s="124"/>
      <c r="D879" s="124"/>
      <c r="E879" s="124"/>
      <c r="F879" s="124"/>
      <c r="G879" s="124"/>
      <c r="H879" s="124"/>
      <c r="I879" s="132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</row>
    <row r="880" hidden="1">
      <c r="A880" s="132"/>
      <c r="B880" s="124"/>
      <c r="C880" s="124"/>
      <c r="D880" s="124"/>
      <c r="E880" s="124"/>
      <c r="F880" s="124"/>
      <c r="G880" s="124"/>
      <c r="H880" s="124"/>
      <c r="I880" s="132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</row>
    <row r="881" hidden="1">
      <c r="A881" s="132"/>
      <c r="B881" s="124"/>
      <c r="C881" s="124"/>
      <c r="D881" s="124"/>
      <c r="E881" s="124"/>
      <c r="F881" s="124"/>
      <c r="G881" s="124"/>
      <c r="H881" s="124"/>
      <c r="I881" s="132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</row>
    <row r="882" hidden="1">
      <c r="A882" s="132"/>
      <c r="B882" s="124"/>
      <c r="C882" s="124"/>
      <c r="D882" s="124"/>
      <c r="E882" s="124"/>
      <c r="F882" s="124"/>
      <c r="G882" s="124"/>
      <c r="H882" s="124"/>
      <c r="I882" s="132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</row>
    <row r="883" hidden="1">
      <c r="A883" s="132"/>
      <c r="B883" s="124"/>
      <c r="C883" s="124"/>
      <c r="D883" s="124"/>
      <c r="E883" s="124"/>
      <c r="F883" s="124"/>
      <c r="G883" s="124"/>
      <c r="H883" s="124"/>
      <c r="I883" s="132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</row>
    <row r="884" hidden="1">
      <c r="A884" s="132"/>
      <c r="B884" s="124"/>
      <c r="C884" s="124"/>
      <c r="D884" s="124"/>
      <c r="E884" s="124"/>
      <c r="F884" s="124"/>
      <c r="G884" s="124"/>
      <c r="H884" s="124"/>
      <c r="I884" s="132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</row>
    <row r="885" hidden="1">
      <c r="A885" s="132"/>
      <c r="B885" s="124"/>
      <c r="C885" s="124"/>
      <c r="D885" s="124"/>
      <c r="E885" s="124"/>
      <c r="F885" s="124"/>
      <c r="G885" s="124"/>
      <c r="H885" s="124"/>
      <c r="I885" s="132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</row>
    <row r="886" hidden="1">
      <c r="A886" s="132"/>
      <c r="B886" s="124"/>
      <c r="C886" s="124"/>
      <c r="D886" s="124"/>
      <c r="E886" s="124"/>
      <c r="F886" s="124"/>
      <c r="G886" s="124"/>
      <c r="H886" s="124"/>
      <c r="I886" s="132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</row>
    <row r="887" hidden="1">
      <c r="A887" s="132"/>
      <c r="B887" s="124"/>
      <c r="C887" s="124"/>
      <c r="D887" s="124"/>
      <c r="E887" s="124"/>
      <c r="F887" s="124"/>
      <c r="G887" s="124"/>
      <c r="H887" s="124"/>
      <c r="I887" s="132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</row>
    <row r="888" hidden="1">
      <c r="A888" s="132"/>
      <c r="B888" s="124"/>
      <c r="C888" s="124"/>
      <c r="D888" s="124"/>
      <c r="E888" s="124"/>
      <c r="F888" s="124"/>
      <c r="G888" s="124"/>
      <c r="H888" s="124"/>
      <c r="I888" s="132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</row>
    <row r="889" hidden="1">
      <c r="A889" s="132"/>
      <c r="B889" s="124"/>
      <c r="C889" s="124"/>
      <c r="D889" s="124"/>
      <c r="E889" s="124"/>
      <c r="F889" s="124"/>
      <c r="G889" s="124"/>
      <c r="H889" s="124"/>
      <c r="I889" s="132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</row>
    <row r="890" hidden="1">
      <c r="A890" s="132"/>
      <c r="B890" s="124"/>
      <c r="C890" s="124"/>
      <c r="D890" s="124"/>
      <c r="E890" s="124"/>
      <c r="F890" s="124"/>
      <c r="G890" s="124"/>
      <c r="H890" s="124"/>
      <c r="I890" s="132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</row>
    <row r="891" hidden="1">
      <c r="A891" s="132"/>
      <c r="B891" s="124"/>
      <c r="C891" s="124"/>
      <c r="D891" s="124"/>
      <c r="E891" s="124"/>
      <c r="F891" s="124"/>
      <c r="G891" s="124"/>
      <c r="H891" s="124"/>
      <c r="I891" s="132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</row>
    <row r="892" hidden="1">
      <c r="A892" s="132"/>
      <c r="B892" s="124"/>
      <c r="C892" s="124"/>
      <c r="D892" s="124"/>
      <c r="E892" s="124"/>
      <c r="F892" s="124"/>
      <c r="G892" s="124"/>
      <c r="H892" s="124"/>
      <c r="I892" s="132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</row>
    <row r="893" hidden="1">
      <c r="A893" s="132"/>
      <c r="B893" s="124"/>
      <c r="C893" s="124"/>
      <c r="D893" s="124"/>
      <c r="E893" s="124"/>
      <c r="F893" s="124"/>
      <c r="G893" s="124"/>
      <c r="H893" s="124"/>
      <c r="I893" s="132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</row>
    <row r="894" hidden="1">
      <c r="A894" s="132"/>
      <c r="B894" s="124"/>
      <c r="C894" s="124"/>
      <c r="D894" s="124"/>
      <c r="E894" s="124"/>
      <c r="F894" s="124"/>
      <c r="G894" s="124"/>
      <c r="H894" s="124"/>
      <c r="I894" s="132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</row>
    <row r="895" hidden="1">
      <c r="A895" s="132"/>
      <c r="B895" s="124"/>
      <c r="C895" s="124"/>
      <c r="D895" s="124"/>
      <c r="E895" s="124"/>
      <c r="F895" s="124"/>
      <c r="G895" s="124"/>
      <c r="H895" s="124"/>
      <c r="I895" s="132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</row>
    <row r="896" hidden="1">
      <c r="A896" s="132"/>
      <c r="B896" s="124"/>
      <c r="C896" s="124"/>
      <c r="D896" s="124"/>
      <c r="E896" s="124"/>
      <c r="F896" s="124"/>
      <c r="G896" s="124"/>
      <c r="H896" s="124"/>
      <c r="I896" s="132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</row>
    <row r="897" hidden="1">
      <c r="A897" s="132"/>
      <c r="B897" s="124"/>
      <c r="C897" s="124"/>
      <c r="D897" s="124"/>
      <c r="E897" s="124"/>
      <c r="F897" s="124"/>
      <c r="G897" s="124"/>
      <c r="H897" s="124"/>
      <c r="I897" s="132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</row>
    <row r="898" hidden="1">
      <c r="A898" s="132"/>
      <c r="B898" s="124"/>
      <c r="C898" s="124"/>
      <c r="D898" s="124"/>
      <c r="E898" s="124"/>
      <c r="F898" s="124"/>
      <c r="G898" s="124"/>
      <c r="H898" s="124"/>
      <c r="I898" s="132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</row>
    <row r="899" hidden="1">
      <c r="A899" s="132"/>
      <c r="B899" s="124"/>
      <c r="C899" s="124"/>
      <c r="D899" s="124"/>
      <c r="E899" s="124"/>
      <c r="F899" s="124"/>
      <c r="G899" s="124"/>
      <c r="H899" s="124"/>
      <c r="I899" s="132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</row>
    <row r="900" hidden="1">
      <c r="A900" s="132"/>
      <c r="B900" s="124"/>
      <c r="C900" s="124"/>
      <c r="D900" s="124"/>
      <c r="E900" s="124"/>
      <c r="F900" s="124"/>
      <c r="G900" s="124"/>
      <c r="H900" s="124"/>
      <c r="I900" s="132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</row>
    <row r="901" hidden="1">
      <c r="A901" s="132"/>
      <c r="B901" s="124"/>
      <c r="C901" s="124"/>
      <c r="D901" s="124"/>
      <c r="E901" s="124"/>
      <c r="F901" s="124"/>
      <c r="G901" s="124"/>
      <c r="H901" s="124"/>
      <c r="I901" s="132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</row>
    <row r="902" hidden="1">
      <c r="A902" s="132"/>
      <c r="B902" s="124"/>
      <c r="C902" s="124"/>
      <c r="D902" s="124"/>
      <c r="E902" s="124"/>
      <c r="F902" s="124"/>
      <c r="G902" s="124"/>
      <c r="H902" s="124"/>
      <c r="I902" s="132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</row>
    <row r="903" hidden="1">
      <c r="A903" s="132"/>
      <c r="B903" s="124"/>
      <c r="C903" s="124"/>
      <c r="D903" s="124"/>
      <c r="E903" s="124"/>
      <c r="F903" s="124"/>
      <c r="G903" s="124"/>
      <c r="H903" s="124"/>
      <c r="I903" s="132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</row>
    <row r="904" hidden="1">
      <c r="A904" s="132"/>
      <c r="B904" s="124"/>
      <c r="C904" s="124"/>
      <c r="D904" s="124"/>
      <c r="E904" s="124"/>
      <c r="F904" s="124"/>
      <c r="G904" s="124"/>
      <c r="H904" s="124"/>
      <c r="I904" s="132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</row>
    <row r="905" hidden="1">
      <c r="A905" s="132"/>
      <c r="B905" s="124"/>
      <c r="C905" s="124"/>
      <c r="D905" s="124"/>
      <c r="E905" s="124"/>
      <c r="F905" s="124"/>
      <c r="G905" s="124"/>
      <c r="H905" s="124"/>
      <c r="I905" s="132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</row>
    <row r="906" hidden="1">
      <c r="A906" s="132"/>
      <c r="B906" s="124"/>
      <c r="C906" s="124"/>
      <c r="D906" s="124"/>
      <c r="E906" s="124"/>
      <c r="F906" s="124"/>
      <c r="G906" s="124"/>
      <c r="H906" s="124"/>
      <c r="I906" s="132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</row>
    <row r="907" hidden="1">
      <c r="A907" s="132"/>
      <c r="B907" s="124"/>
      <c r="C907" s="124"/>
      <c r="D907" s="124"/>
      <c r="E907" s="124"/>
      <c r="F907" s="124"/>
      <c r="G907" s="124"/>
      <c r="H907" s="124"/>
      <c r="I907" s="132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</row>
    <row r="908" hidden="1">
      <c r="A908" s="132"/>
      <c r="B908" s="124"/>
      <c r="C908" s="124"/>
      <c r="D908" s="124"/>
      <c r="E908" s="124"/>
      <c r="F908" s="124"/>
      <c r="G908" s="124"/>
      <c r="H908" s="124"/>
      <c r="I908" s="132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</row>
    <row r="909" hidden="1">
      <c r="A909" s="132"/>
      <c r="B909" s="124"/>
      <c r="C909" s="124"/>
      <c r="D909" s="124"/>
      <c r="E909" s="124"/>
      <c r="F909" s="124"/>
      <c r="G909" s="124"/>
      <c r="H909" s="124"/>
      <c r="I909" s="132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</row>
    <row r="910" hidden="1">
      <c r="A910" s="132"/>
      <c r="B910" s="124"/>
      <c r="C910" s="124"/>
      <c r="D910" s="124"/>
      <c r="E910" s="124"/>
      <c r="F910" s="124"/>
      <c r="G910" s="124"/>
      <c r="H910" s="124"/>
      <c r="I910" s="132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</row>
    <row r="911" hidden="1">
      <c r="A911" s="132"/>
      <c r="B911" s="124"/>
      <c r="C911" s="124"/>
      <c r="D911" s="124"/>
      <c r="E911" s="124"/>
      <c r="F911" s="124"/>
      <c r="G911" s="124"/>
      <c r="H911" s="124"/>
      <c r="I911" s="132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</row>
    <row r="912" hidden="1">
      <c r="A912" s="132"/>
      <c r="B912" s="124"/>
      <c r="C912" s="124"/>
      <c r="D912" s="124"/>
      <c r="E912" s="124"/>
      <c r="F912" s="124"/>
      <c r="G912" s="124"/>
      <c r="H912" s="124"/>
      <c r="I912" s="132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</row>
    <row r="913" hidden="1">
      <c r="A913" s="132"/>
      <c r="B913" s="124"/>
      <c r="C913" s="124"/>
      <c r="D913" s="124"/>
      <c r="E913" s="124"/>
      <c r="F913" s="124"/>
      <c r="G913" s="124"/>
      <c r="H913" s="124"/>
      <c r="I913" s="132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</row>
    <row r="914" hidden="1">
      <c r="A914" s="132"/>
      <c r="B914" s="124"/>
      <c r="C914" s="124"/>
      <c r="D914" s="124"/>
      <c r="E914" s="124"/>
      <c r="F914" s="124"/>
      <c r="G914" s="124"/>
      <c r="H914" s="124"/>
      <c r="I914" s="132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</row>
    <row r="915" hidden="1">
      <c r="A915" s="132"/>
      <c r="B915" s="124"/>
      <c r="C915" s="124"/>
      <c r="D915" s="124"/>
      <c r="E915" s="124"/>
      <c r="F915" s="124"/>
      <c r="G915" s="124"/>
      <c r="H915" s="124"/>
      <c r="I915" s="132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</row>
    <row r="916" hidden="1">
      <c r="A916" s="132"/>
      <c r="B916" s="124"/>
      <c r="C916" s="124"/>
      <c r="D916" s="124"/>
      <c r="E916" s="124"/>
      <c r="F916" s="124"/>
      <c r="G916" s="124"/>
      <c r="H916" s="124"/>
      <c r="I916" s="132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</row>
    <row r="917" hidden="1">
      <c r="A917" s="132"/>
      <c r="B917" s="124"/>
      <c r="C917" s="124"/>
      <c r="D917" s="124"/>
      <c r="E917" s="124"/>
      <c r="F917" s="124"/>
      <c r="G917" s="124"/>
      <c r="H917" s="124"/>
      <c r="I917" s="132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</row>
    <row r="918" hidden="1">
      <c r="A918" s="132"/>
      <c r="B918" s="124"/>
      <c r="C918" s="124"/>
      <c r="D918" s="124"/>
      <c r="E918" s="124"/>
      <c r="F918" s="124"/>
      <c r="G918" s="124"/>
      <c r="H918" s="124"/>
      <c r="I918" s="132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</row>
    <row r="919" hidden="1">
      <c r="A919" s="132"/>
      <c r="B919" s="124"/>
      <c r="C919" s="124"/>
      <c r="D919" s="124"/>
      <c r="E919" s="124"/>
      <c r="F919" s="124"/>
      <c r="G919" s="124"/>
      <c r="H919" s="124"/>
      <c r="I919" s="132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</row>
    <row r="920" hidden="1">
      <c r="A920" s="132"/>
      <c r="B920" s="124"/>
      <c r="C920" s="124"/>
      <c r="D920" s="124"/>
      <c r="E920" s="124"/>
      <c r="F920" s="124"/>
      <c r="G920" s="124"/>
      <c r="H920" s="124"/>
      <c r="I920" s="132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</row>
    <row r="921" hidden="1">
      <c r="A921" s="132"/>
      <c r="B921" s="124"/>
      <c r="C921" s="124"/>
      <c r="D921" s="124"/>
      <c r="E921" s="124"/>
      <c r="F921" s="124"/>
      <c r="G921" s="124"/>
      <c r="H921" s="124"/>
      <c r="I921" s="132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</row>
    <row r="922" hidden="1">
      <c r="A922" s="132"/>
      <c r="B922" s="124"/>
      <c r="C922" s="124"/>
      <c r="D922" s="124"/>
      <c r="E922" s="124"/>
      <c r="F922" s="124"/>
      <c r="G922" s="124"/>
      <c r="H922" s="124"/>
      <c r="I922" s="132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</row>
    <row r="923" hidden="1">
      <c r="A923" s="132"/>
      <c r="B923" s="124"/>
      <c r="C923" s="124"/>
      <c r="D923" s="124"/>
      <c r="E923" s="124"/>
      <c r="F923" s="124"/>
      <c r="G923" s="124"/>
      <c r="H923" s="124"/>
      <c r="I923" s="132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</row>
    <row r="924" hidden="1">
      <c r="A924" s="132"/>
      <c r="B924" s="124"/>
      <c r="C924" s="124"/>
      <c r="D924" s="124"/>
      <c r="E924" s="124"/>
      <c r="F924" s="124"/>
      <c r="G924" s="124"/>
      <c r="H924" s="124"/>
      <c r="I924" s="132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</row>
    <row r="925" hidden="1">
      <c r="A925" s="132"/>
      <c r="B925" s="124"/>
      <c r="C925" s="124"/>
      <c r="D925" s="124"/>
      <c r="E925" s="124"/>
      <c r="F925" s="124"/>
      <c r="G925" s="124"/>
      <c r="H925" s="124"/>
      <c r="I925" s="132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</row>
    <row r="926" hidden="1">
      <c r="A926" s="132"/>
      <c r="B926" s="124"/>
      <c r="C926" s="124"/>
      <c r="D926" s="124"/>
      <c r="E926" s="124"/>
      <c r="F926" s="124"/>
      <c r="G926" s="124"/>
      <c r="H926" s="124"/>
      <c r="I926" s="132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</row>
    <row r="927" hidden="1">
      <c r="A927" s="132"/>
      <c r="B927" s="124"/>
      <c r="C927" s="124"/>
      <c r="D927" s="124"/>
      <c r="E927" s="124"/>
      <c r="F927" s="124"/>
      <c r="G927" s="124"/>
      <c r="H927" s="124"/>
      <c r="I927" s="132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</row>
    <row r="928" hidden="1">
      <c r="A928" s="132"/>
      <c r="B928" s="124"/>
      <c r="C928" s="124"/>
      <c r="D928" s="124"/>
      <c r="E928" s="124"/>
      <c r="F928" s="124"/>
      <c r="G928" s="124"/>
      <c r="H928" s="124"/>
      <c r="I928" s="132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</row>
    <row r="929" hidden="1">
      <c r="A929" s="132"/>
      <c r="B929" s="124"/>
      <c r="C929" s="124"/>
      <c r="D929" s="124"/>
      <c r="E929" s="124"/>
      <c r="F929" s="124"/>
      <c r="G929" s="124"/>
      <c r="H929" s="124"/>
      <c r="I929" s="132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</row>
    <row r="930" hidden="1">
      <c r="A930" s="132"/>
      <c r="B930" s="124"/>
      <c r="C930" s="124"/>
      <c r="D930" s="124"/>
      <c r="E930" s="124"/>
      <c r="F930" s="124"/>
      <c r="G930" s="124"/>
      <c r="H930" s="124"/>
      <c r="I930" s="132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</row>
    <row r="931" hidden="1">
      <c r="A931" s="132"/>
      <c r="B931" s="124"/>
      <c r="C931" s="124"/>
      <c r="D931" s="124"/>
      <c r="E931" s="124"/>
      <c r="F931" s="124"/>
      <c r="G931" s="124"/>
      <c r="H931" s="124"/>
      <c r="I931" s="132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</row>
    <row r="932" hidden="1">
      <c r="A932" s="132"/>
      <c r="B932" s="124"/>
      <c r="C932" s="124"/>
      <c r="D932" s="124"/>
      <c r="E932" s="124"/>
      <c r="F932" s="124"/>
      <c r="G932" s="124"/>
      <c r="H932" s="124"/>
      <c r="I932" s="132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</row>
    <row r="933" hidden="1">
      <c r="A933" s="132"/>
      <c r="B933" s="124"/>
      <c r="C933" s="124"/>
      <c r="D933" s="124"/>
      <c r="E933" s="124"/>
      <c r="F933" s="124"/>
      <c r="G933" s="124"/>
      <c r="H933" s="124"/>
      <c r="I933" s="132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</row>
    <row r="934" hidden="1">
      <c r="A934" s="132"/>
      <c r="B934" s="124"/>
      <c r="C934" s="124"/>
      <c r="D934" s="124"/>
      <c r="E934" s="124"/>
      <c r="F934" s="124"/>
      <c r="G934" s="124"/>
      <c r="H934" s="124"/>
      <c r="I934" s="132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</row>
    <row r="935" hidden="1">
      <c r="A935" s="132"/>
      <c r="B935" s="124"/>
      <c r="C935" s="124"/>
      <c r="D935" s="124"/>
      <c r="E935" s="124"/>
      <c r="F935" s="124"/>
      <c r="G935" s="124"/>
      <c r="H935" s="124"/>
      <c r="I935" s="132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</row>
    <row r="936" hidden="1">
      <c r="A936" s="132"/>
      <c r="B936" s="124"/>
      <c r="C936" s="124"/>
      <c r="D936" s="124"/>
      <c r="E936" s="124"/>
      <c r="F936" s="124"/>
      <c r="G936" s="124"/>
      <c r="H936" s="124"/>
      <c r="I936" s="132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</row>
    <row r="937" hidden="1">
      <c r="A937" s="132"/>
      <c r="B937" s="124"/>
      <c r="C937" s="124"/>
      <c r="D937" s="124"/>
      <c r="E937" s="124"/>
      <c r="F937" s="124"/>
      <c r="G937" s="124"/>
      <c r="H937" s="124"/>
      <c r="I937" s="132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</row>
    <row r="938" hidden="1">
      <c r="A938" s="132"/>
      <c r="B938" s="124"/>
      <c r="C938" s="124"/>
      <c r="D938" s="124"/>
      <c r="E938" s="124"/>
      <c r="F938" s="124"/>
      <c r="G938" s="124"/>
      <c r="H938" s="124"/>
      <c r="I938" s="132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</row>
    <row r="939" hidden="1">
      <c r="A939" s="132"/>
      <c r="B939" s="124"/>
      <c r="C939" s="124"/>
      <c r="D939" s="124"/>
      <c r="E939" s="124"/>
      <c r="F939" s="124"/>
      <c r="G939" s="124"/>
      <c r="H939" s="124"/>
      <c r="I939" s="132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</row>
    <row r="940" hidden="1">
      <c r="A940" s="132"/>
      <c r="B940" s="124"/>
      <c r="C940" s="124"/>
      <c r="D940" s="124"/>
      <c r="E940" s="124"/>
      <c r="F940" s="124"/>
      <c r="G940" s="124"/>
      <c r="H940" s="124"/>
      <c r="I940" s="132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</row>
    <row r="941" hidden="1">
      <c r="A941" s="132"/>
      <c r="B941" s="124"/>
      <c r="C941" s="124"/>
      <c r="D941" s="124"/>
      <c r="E941" s="124"/>
      <c r="F941" s="124"/>
      <c r="G941" s="124"/>
      <c r="H941" s="124"/>
      <c r="I941" s="132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</row>
    <row r="942" hidden="1">
      <c r="A942" s="132"/>
      <c r="B942" s="124"/>
      <c r="C942" s="124"/>
      <c r="D942" s="124"/>
      <c r="E942" s="124"/>
      <c r="F942" s="124"/>
      <c r="G942" s="124"/>
      <c r="H942" s="124"/>
      <c r="I942" s="132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</row>
    <row r="943" hidden="1">
      <c r="A943" s="132"/>
      <c r="B943" s="124"/>
      <c r="C943" s="124"/>
      <c r="D943" s="124"/>
      <c r="E943" s="124"/>
      <c r="F943" s="124"/>
      <c r="G943" s="124"/>
      <c r="H943" s="124"/>
      <c r="I943" s="132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</row>
    <row r="944" hidden="1">
      <c r="A944" s="132"/>
      <c r="B944" s="124"/>
      <c r="C944" s="124"/>
      <c r="D944" s="124"/>
      <c r="E944" s="124"/>
      <c r="F944" s="124"/>
      <c r="G944" s="124"/>
      <c r="H944" s="124"/>
      <c r="I944" s="132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</row>
    <row r="945" hidden="1">
      <c r="A945" s="132"/>
      <c r="B945" s="124"/>
      <c r="C945" s="124"/>
      <c r="D945" s="124"/>
      <c r="E945" s="124"/>
      <c r="F945" s="124"/>
      <c r="G945" s="124"/>
      <c r="H945" s="124"/>
      <c r="I945" s="132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</row>
    <row r="946" hidden="1">
      <c r="A946" s="132"/>
      <c r="B946" s="124"/>
      <c r="C946" s="124"/>
      <c r="D946" s="124"/>
      <c r="E946" s="124"/>
      <c r="F946" s="124"/>
      <c r="G946" s="124"/>
      <c r="H946" s="124"/>
      <c r="I946" s="132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</row>
    <row r="947" hidden="1">
      <c r="A947" s="132"/>
      <c r="B947" s="124"/>
      <c r="C947" s="124"/>
      <c r="D947" s="124"/>
      <c r="E947" s="124"/>
      <c r="F947" s="124"/>
      <c r="G947" s="124"/>
      <c r="H947" s="124"/>
      <c r="I947" s="132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</row>
    <row r="948" hidden="1">
      <c r="A948" s="132"/>
      <c r="B948" s="124"/>
      <c r="C948" s="124"/>
      <c r="D948" s="124"/>
      <c r="E948" s="124"/>
      <c r="F948" s="124"/>
      <c r="G948" s="124"/>
      <c r="H948" s="124"/>
      <c r="I948" s="132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</row>
    <row r="949" hidden="1">
      <c r="A949" s="132"/>
      <c r="B949" s="124"/>
      <c r="C949" s="124"/>
      <c r="D949" s="124"/>
      <c r="E949" s="124"/>
      <c r="F949" s="124"/>
      <c r="G949" s="124"/>
      <c r="H949" s="124"/>
      <c r="I949" s="132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</row>
    <row r="950" hidden="1">
      <c r="A950" s="132"/>
      <c r="B950" s="124"/>
      <c r="C950" s="124"/>
      <c r="D950" s="124"/>
      <c r="E950" s="124"/>
      <c r="F950" s="124"/>
      <c r="G950" s="124"/>
      <c r="H950" s="124"/>
      <c r="I950" s="132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</row>
    <row r="951" hidden="1">
      <c r="A951" s="132"/>
      <c r="B951" s="124"/>
      <c r="C951" s="124"/>
      <c r="D951" s="124"/>
      <c r="E951" s="124"/>
      <c r="F951" s="124"/>
      <c r="G951" s="124"/>
      <c r="H951" s="124"/>
      <c r="I951" s="132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</row>
    <row r="952" hidden="1">
      <c r="A952" s="132"/>
      <c r="B952" s="124"/>
      <c r="C952" s="124"/>
      <c r="D952" s="124"/>
      <c r="E952" s="124"/>
      <c r="F952" s="124"/>
      <c r="G952" s="124"/>
      <c r="H952" s="124"/>
      <c r="I952" s="132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</row>
    <row r="953" hidden="1">
      <c r="A953" s="132"/>
      <c r="B953" s="124"/>
      <c r="C953" s="124"/>
      <c r="D953" s="124"/>
      <c r="E953" s="124"/>
      <c r="F953" s="124"/>
      <c r="G953" s="124"/>
      <c r="H953" s="124"/>
      <c r="I953" s="132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</row>
    <row r="954" hidden="1">
      <c r="A954" s="132"/>
      <c r="B954" s="124"/>
      <c r="C954" s="124"/>
      <c r="D954" s="124"/>
      <c r="E954" s="124"/>
      <c r="F954" s="124"/>
      <c r="G954" s="124"/>
      <c r="H954" s="124"/>
      <c r="I954" s="132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</row>
    <row r="955" hidden="1">
      <c r="A955" s="132"/>
      <c r="B955" s="124"/>
      <c r="C955" s="124"/>
      <c r="D955" s="124"/>
      <c r="E955" s="124"/>
      <c r="F955" s="124"/>
      <c r="G955" s="124"/>
      <c r="H955" s="124"/>
      <c r="I955" s="132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</row>
    <row r="956" hidden="1">
      <c r="A956" s="132"/>
      <c r="B956" s="124"/>
      <c r="C956" s="124"/>
      <c r="D956" s="124"/>
      <c r="E956" s="124"/>
      <c r="F956" s="124"/>
      <c r="G956" s="124"/>
      <c r="H956" s="124"/>
      <c r="I956" s="132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</row>
    <row r="957" hidden="1">
      <c r="A957" s="132"/>
      <c r="B957" s="124"/>
      <c r="C957" s="124"/>
      <c r="D957" s="124"/>
      <c r="E957" s="124"/>
      <c r="F957" s="124"/>
      <c r="G957" s="124"/>
      <c r="H957" s="124"/>
      <c r="I957" s="132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</row>
    <row r="958" hidden="1">
      <c r="A958" s="132"/>
      <c r="B958" s="124"/>
      <c r="C958" s="124"/>
      <c r="D958" s="124"/>
      <c r="E958" s="124"/>
      <c r="F958" s="124"/>
      <c r="G958" s="124"/>
      <c r="H958" s="124"/>
      <c r="I958" s="132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</row>
    <row r="959" hidden="1">
      <c r="A959" s="132"/>
      <c r="B959" s="124"/>
      <c r="C959" s="124"/>
      <c r="D959" s="124"/>
      <c r="E959" s="124"/>
      <c r="F959" s="124"/>
      <c r="G959" s="124"/>
      <c r="H959" s="124"/>
      <c r="I959" s="132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</row>
    <row r="960" hidden="1">
      <c r="A960" s="132"/>
      <c r="B960" s="124"/>
      <c r="C960" s="124"/>
      <c r="D960" s="124"/>
      <c r="E960" s="124"/>
      <c r="F960" s="124"/>
      <c r="G960" s="124"/>
      <c r="H960" s="124"/>
      <c r="I960" s="132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</row>
    <row r="961" hidden="1">
      <c r="A961" s="132"/>
      <c r="B961" s="124"/>
      <c r="C961" s="124"/>
      <c r="D961" s="124"/>
      <c r="E961" s="124"/>
      <c r="F961" s="124"/>
      <c r="G961" s="124"/>
      <c r="H961" s="124"/>
      <c r="I961" s="132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</row>
    <row r="962" hidden="1">
      <c r="A962" s="132"/>
      <c r="B962" s="124"/>
      <c r="C962" s="124"/>
      <c r="D962" s="124"/>
      <c r="E962" s="124"/>
      <c r="F962" s="124"/>
      <c r="G962" s="124"/>
      <c r="H962" s="124"/>
      <c r="I962" s="132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</row>
    <row r="963" hidden="1">
      <c r="A963" s="132"/>
      <c r="B963" s="124"/>
      <c r="C963" s="124"/>
      <c r="D963" s="124"/>
      <c r="E963" s="124"/>
      <c r="F963" s="124"/>
      <c r="G963" s="124"/>
      <c r="H963" s="124"/>
      <c r="I963" s="132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</row>
    <row r="964" hidden="1">
      <c r="A964" s="132"/>
      <c r="B964" s="124"/>
      <c r="C964" s="124"/>
      <c r="D964" s="124"/>
      <c r="E964" s="124"/>
      <c r="F964" s="124"/>
      <c r="G964" s="124"/>
      <c r="H964" s="124"/>
      <c r="I964" s="132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</row>
    <row r="965" hidden="1">
      <c r="A965" s="132"/>
      <c r="B965" s="124"/>
      <c r="C965" s="124"/>
      <c r="D965" s="124"/>
      <c r="E965" s="124"/>
      <c r="F965" s="124"/>
      <c r="G965" s="124"/>
      <c r="H965" s="124"/>
      <c r="I965" s="132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</row>
    <row r="966" hidden="1">
      <c r="A966" s="132"/>
      <c r="B966" s="124"/>
      <c r="C966" s="124"/>
      <c r="D966" s="124"/>
      <c r="E966" s="124"/>
      <c r="F966" s="124"/>
      <c r="G966" s="124"/>
      <c r="H966" s="124"/>
      <c r="I966" s="132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</row>
    <row r="967" hidden="1">
      <c r="A967" s="132"/>
      <c r="B967" s="124"/>
      <c r="C967" s="124"/>
      <c r="D967" s="124"/>
      <c r="E967" s="124"/>
      <c r="F967" s="124"/>
      <c r="G967" s="124"/>
      <c r="H967" s="124"/>
      <c r="I967" s="132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</row>
    <row r="968" hidden="1">
      <c r="A968" s="132"/>
      <c r="B968" s="124"/>
      <c r="C968" s="124"/>
      <c r="D968" s="124"/>
      <c r="E968" s="124"/>
      <c r="F968" s="124"/>
      <c r="G968" s="124"/>
      <c r="H968" s="124"/>
      <c r="I968" s="132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</row>
    <row r="969" hidden="1">
      <c r="A969" s="132"/>
      <c r="B969" s="124"/>
      <c r="C969" s="124"/>
      <c r="D969" s="124"/>
      <c r="E969" s="124"/>
      <c r="F969" s="124"/>
      <c r="G969" s="124"/>
      <c r="H969" s="124"/>
      <c r="I969" s="132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</row>
    <row r="970" hidden="1">
      <c r="A970" s="132"/>
      <c r="B970" s="124"/>
      <c r="C970" s="124"/>
      <c r="D970" s="124"/>
      <c r="E970" s="124"/>
      <c r="F970" s="124"/>
      <c r="G970" s="124"/>
      <c r="H970" s="124"/>
      <c r="I970" s="132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</row>
    <row r="971" hidden="1">
      <c r="A971" s="132"/>
      <c r="B971" s="124"/>
      <c r="C971" s="124"/>
      <c r="D971" s="124"/>
      <c r="E971" s="124"/>
      <c r="F971" s="124"/>
      <c r="G971" s="124"/>
      <c r="H971" s="124"/>
      <c r="I971" s="132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</row>
    <row r="972" hidden="1">
      <c r="A972" s="132"/>
      <c r="B972" s="124"/>
      <c r="C972" s="124"/>
      <c r="D972" s="124"/>
      <c r="E972" s="124"/>
      <c r="F972" s="124"/>
      <c r="G972" s="124"/>
      <c r="H972" s="124"/>
      <c r="I972" s="132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</row>
    <row r="973" hidden="1">
      <c r="A973" s="132"/>
      <c r="B973" s="124"/>
      <c r="C973" s="124"/>
      <c r="D973" s="124"/>
      <c r="E973" s="124"/>
      <c r="F973" s="124"/>
      <c r="G973" s="124"/>
      <c r="H973" s="124"/>
      <c r="I973" s="132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</row>
    <row r="974" hidden="1">
      <c r="A974" s="132"/>
      <c r="B974" s="124"/>
      <c r="C974" s="124"/>
      <c r="D974" s="124"/>
      <c r="E974" s="124"/>
      <c r="F974" s="124"/>
      <c r="G974" s="124"/>
      <c r="H974" s="124"/>
      <c r="I974" s="132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</row>
    <row r="975" hidden="1">
      <c r="A975" s="132"/>
      <c r="B975" s="124"/>
      <c r="C975" s="124"/>
      <c r="D975" s="124"/>
      <c r="E975" s="124"/>
      <c r="F975" s="124"/>
      <c r="G975" s="124"/>
      <c r="H975" s="124"/>
      <c r="I975" s="132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</row>
    <row r="976" hidden="1">
      <c r="A976" s="132"/>
      <c r="B976" s="124"/>
      <c r="C976" s="124"/>
      <c r="D976" s="124"/>
      <c r="E976" s="124"/>
      <c r="F976" s="124"/>
      <c r="G976" s="124"/>
      <c r="H976" s="124"/>
      <c r="I976" s="132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</row>
    <row r="977" hidden="1">
      <c r="A977" s="132"/>
      <c r="B977" s="124"/>
      <c r="C977" s="124"/>
      <c r="D977" s="124"/>
      <c r="E977" s="124"/>
      <c r="F977" s="124"/>
      <c r="G977" s="124"/>
      <c r="H977" s="124"/>
      <c r="I977" s="132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</row>
    <row r="978" hidden="1">
      <c r="A978" s="132"/>
      <c r="B978" s="124"/>
      <c r="C978" s="124"/>
      <c r="D978" s="124"/>
      <c r="E978" s="124"/>
      <c r="F978" s="124"/>
      <c r="G978" s="124"/>
      <c r="H978" s="124"/>
      <c r="I978" s="132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</row>
    <row r="979" hidden="1">
      <c r="A979" s="132"/>
      <c r="B979" s="124"/>
      <c r="C979" s="124"/>
      <c r="D979" s="124"/>
      <c r="E979" s="124"/>
      <c r="F979" s="124"/>
      <c r="G979" s="124"/>
      <c r="H979" s="124"/>
      <c r="I979" s="132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</row>
    <row r="980" hidden="1">
      <c r="A980" s="132"/>
      <c r="B980" s="124"/>
      <c r="C980" s="124"/>
      <c r="D980" s="124"/>
      <c r="E980" s="124"/>
      <c r="F980" s="124"/>
      <c r="G980" s="124"/>
      <c r="H980" s="124"/>
      <c r="I980" s="132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</row>
    <row r="981" hidden="1">
      <c r="A981" s="132"/>
      <c r="B981" s="124"/>
      <c r="C981" s="124"/>
      <c r="D981" s="124"/>
      <c r="E981" s="124"/>
      <c r="F981" s="124"/>
      <c r="G981" s="124"/>
      <c r="H981" s="124"/>
      <c r="I981" s="132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</row>
    <row r="982" hidden="1">
      <c r="A982" s="132"/>
      <c r="B982" s="124"/>
      <c r="C982" s="124"/>
      <c r="D982" s="124"/>
      <c r="E982" s="124"/>
      <c r="F982" s="124"/>
      <c r="G982" s="124"/>
      <c r="H982" s="124"/>
      <c r="I982" s="132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</row>
    <row r="983" hidden="1">
      <c r="A983" s="132"/>
      <c r="B983" s="124"/>
      <c r="C983" s="124"/>
      <c r="D983" s="124"/>
      <c r="E983" s="124"/>
      <c r="F983" s="124"/>
      <c r="G983" s="124"/>
      <c r="H983" s="124"/>
      <c r="I983" s="132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</row>
    <row r="984" hidden="1">
      <c r="A984" s="132"/>
      <c r="B984" s="124"/>
      <c r="C984" s="124"/>
      <c r="D984" s="124"/>
      <c r="E984" s="124"/>
      <c r="F984" s="124"/>
      <c r="G984" s="124"/>
      <c r="H984" s="124"/>
      <c r="I984" s="132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</row>
    <row r="985" hidden="1">
      <c r="A985" s="132"/>
      <c r="B985" s="124"/>
      <c r="C985" s="124"/>
      <c r="D985" s="124"/>
      <c r="E985" s="124"/>
      <c r="F985" s="124"/>
      <c r="G985" s="124"/>
      <c r="H985" s="124"/>
      <c r="I985" s="132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</row>
    <row r="986" hidden="1">
      <c r="A986" s="132"/>
      <c r="B986" s="124"/>
      <c r="C986" s="124"/>
      <c r="D986" s="124"/>
      <c r="E986" s="124"/>
      <c r="F986" s="124"/>
      <c r="G986" s="124"/>
      <c r="H986" s="124"/>
      <c r="I986" s="132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</row>
    <row r="987" hidden="1">
      <c r="A987" s="132"/>
      <c r="B987" s="124"/>
      <c r="C987" s="124"/>
      <c r="D987" s="124"/>
      <c r="E987" s="124"/>
      <c r="F987" s="124"/>
      <c r="G987" s="124"/>
      <c r="H987" s="124"/>
      <c r="I987" s="132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</row>
  </sheetData>
  <autoFilter ref="$L$1:$L$987">
    <filterColumn colId="0">
      <filters>
        <filter val="4175615092"/>
        <filter val="4175614829"/>
        <filter val="4175614734"/>
        <filter val="4175614694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0"/>
  </cols>
  <sheetData>
    <row r="1">
      <c r="A1" s="133" t="s">
        <v>1280</v>
      </c>
      <c r="B1" s="134"/>
      <c r="C1" s="135"/>
    </row>
    <row r="2">
      <c r="A2" s="136"/>
      <c r="B2" s="137" t="s">
        <v>1281</v>
      </c>
      <c r="C2" s="135"/>
    </row>
    <row r="3">
      <c r="A3" s="138"/>
      <c r="B3" s="137" t="s">
        <v>1282</v>
      </c>
      <c r="C3" s="135"/>
    </row>
    <row r="4">
      <c r="A4" s="139"/>
      <c r="B4" s="137" t="s">
        <v>1283</v>
      </c>
      <c r="C4" s="135"/>
    </row>
    <row r="5">
      <c r="A5" s="140"/>
      <c r="B5" s="137" t="s">
        <v>1284</v>
      </c>
      <c r="C5" s="135"/>
    </row>
    <row r="6">
      <c r="A6" s="141"/>
      <c r="B6" s="137" t="s">
        <v>1285</v>
      </c>
      <c r="C6" s="135"/>
    </row>
    <row r="7">
      <c r="A7" s="142"/>
      <c r="B7" s="137" t="s">
        <v>1286</v>
      </c>
      <c r="C7" s="135"/>
    </row>
    <row r="8">
      <c r="A8" s="143"/>
      <c r="B8" s="137" t="s">
        <v>1287</v>
      </c>
      <c r="C8" s="135"/>
    </row>
    <row r="9">
      <c r="A9" s="144"/>
      <c r="B9" s="137" t="s">
        <v>1288</v>
      </c>
      <c r="C9" s="135"/>
    </row>
  </sheetData>
  <mergeCells count="9">
    <mergeCell ref="B8:C8"/>
    <mergeCell ref="B9:C9"/>
    <mergeCell ref="A1:C1"/>
    <mergeCell ref="B2:C2"/>
    <mergeCell ref="B3:C3"/>
    <mergeCell ref="B4:C4"/>
    <mergeCell ref="B5:C5"/>
    <mergeCell ref="B6:C6"/>
    <mergeCell ref="B7:C7"/>
  </mergeCells>
  <drawing r:id="rId1"/>
</worksheet>
</file>